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C4998AF-3E92-4E29-91C7-160665BA37B1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stablecimiento Madre de Dios" sheetId="1" r:id="rId1"/>
    <sheet name="Hoja1" sheetId="2" r:id="rId2"/>
    <sheet name="PROFESION Y GRADO " sheetId="3" r:id="rId3"/>
    <sheet name="Hoja3" sheetId="4" r:id="rId4"/>
  </sheets>
  <definedNames>
    <definedName name="_xlnm._FilterDatabase" localSheetId="3" hidden="1">Hoja3!$F$3:$F$34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L4" i="1"/>
  <c r="K4" i="1"/>
  <c r="N4" i="1"/>
  <c r="O4" i="1" l="1"/>
</calcChain>
</file>

<file path=xl/sharedStrings.xml><?xml version="1.0" encoding="utf-8"?>
<sst xmlns="http://schemas.openxmlformats.org/spreadsheetml/2006/main" count="482" uniqueCount="284">
  <si>
    <t>I - 1</t>
  </si>
  <si>
    <t>P.S. LOERO</t>
  </si>
  <si>
    <t>P.S. JORGE CHAVEZ</t>
  </si>
  <si>
    <t>I - 2</t>
  </si>
  <si>
    <t>P.S. INFIERNO</t>
  </si>
  <si>
    <t>I - 3</t>
  </si>
  <si>
    <t>C.S. LA JOYA</t>
  </si>
  <si>
    <t>P.S. SAN BERNARDO</t>
  </si>
  <si>
    <t>P.S. CHONTA</t>
  </si>
  <si>
    <t>P.S. BAJO TAMBOPATA</t>
  </si>
  <si>
    <t>C.S. NUEVO MILENIO</t>
  </si>
  <si>
    <t>Nuevo milenio</t>
  </si>
  <si>
    <t>P.S. AA.HH. PUEBLO VIEJO</t>
  </si>
  <si>
    <t>P.S. EL PRADO</t>
  </si>
  <si>
    <t>P.S. OTILIA</t>
  </si>
  <si>
    <t>P.S. LA CACHUELA</t>
  </si>
  <si>
    <t>P.S. UNION</t>
  </si>
  <si>
    <t>P.S. SONENE</t>
  </si>
  <si>
    <t>P.S. PUERTO PARDO</t>
  </si>
  <si>
    <t>P.S. PALMA REAL</t>
  </si>
  <si>
    <t>P.S. TRES ISLAS</t>
  </si>
  <si>
    <t>P.S. VILLA NUEVA VICTORIA</t>
  </si>
  <si>
    <t>C.S. JORGE CHAVEZ</t>
  </si>
  <si>
    <t>Jorge Chavez</t>
  </si>
  <si>
    <t>P.S. PARIAMARCA</t>
  </si>
  <si>
    <t>Planchon</t>
  </si>
  <si>
    <t>Tambopata</t>
  </si>
  <si>
    <t>P.S. MONTE SALVADO</t>
  </si>
  <si>
    <t>P.S. SABALUYOC</t>
  </si>
  <si>
    <t>P.S. SUDADERO</t>
  </si>
  <si>
    <t>P.S. MAVILA</t>
  </si>
  <si>
    <t>P.S. ALEGRIA</t>
  </si>
  <si>
    <t>P.S. LUCERNA</t>
  </si>
  <si>
    <t>P.S. PLANCHON</t>
  </si>
  <si>
    <t>P.S. LAGO VALENCIA</t>
  </si>
  <si>
    <t>P.S. EL TRIUNFO</t>
  </si>
  <si>
    <t>Las piedras</t>
  </si>
  <si>
    <t>P.S. LAGARTO</t>
  </si>
  <si>
    <t>P.S. BOCA UNION</t>
  </si>
  <si>
    <t>P.S. VUELTA GRANDE</t>
  </si>
  <si>
    <t>P.S. VIRGENES DEL SOL</t>
  </si>
  <si>
    <t>P.S. FORTUNA</t>
  </si>
  <si>
    <t>P.S. LAS MERCEDES</t>
  </si>
  <si>
    <t>P.S. LABERINTO</t>
  </si>
  <si>
    <t>Laberinto</t>
  </si>
  <si>
    <t>P.S. JAYAVE</t>
  </si>
  <si>
    <t>P.S. ALTO LIBERTAD</t>
  </si>
  <si>
    <t>P.S. UNION PROGRESO</t>
  </si>
  <si>
    <t>P.S. SARAYACU</t>
  </si>
  <si>
    <t>P.S. PRIMAVERA BAJA</t>
  </si>
  <si>
    <t>P.S. SANTA RITA</t>
  </si>
  <si>
    <t>P.S. SANTA ROSA</t>
  </si>
  <si>
    <t>P.S. PUENTE INAMBARI</t>
  </si>
  <si>
    <t>P.S. CABECERA MALINOWSKY</t>
  </si>
  <si>
    <t>C.S. MAZUCO</t>
  </si>
  <si>
    <t>Mazuko</t>
  </si>
  <si>
    <t>P.S. LAGO INAMBARILLO</t>
  </si>
  <si>
    <t>P.S. AMARACAYRE</t>
  </si>
  <si>
    <t>Inambari</t>
  </si>
  <si>
    <t>P.S. PRIMAVERA</t>
  </si>
  <si>
    <t>P.S. BELGICA</t>
  </si>
  <si>
    <t>P.S. IÑAPARI</t>
  </si>
  <si>
    <t>Iberia</t>
  </si>
  <si>
    <t>Iñapari</t>
  </si>
  <si>
    <t>P.S. FLOR DE ACRE</t>
  </si>
  <si>
    <t>P.S. CHILINA</t>
  </si>
  <si>
    <t>P.S. SAN MARTIN</t>
  </si>
  <si>
    <t>P.S. SANTA MARIA</t>
  </si>
  <si>
    <t>P.S. NUEVO PACARAN</t>
  </si>
  <si>
    <t>P.S. SHIRINGAYOC</t>
  </si>
  <si>
    <t>P.S. LA NOVIA</t>
  </si>
  <si>
    <t>P.S. SAN LORENZO</t>
  </si>
  <si>
    <t>P.S. VILLA ROCIO</t>
  </si>
  <si>
    <t>P.S. ALERTA</t>
  </si>
  <si>
    <t>iberia</t>
  </si>
  <si>
    <t>Tahuamanu</t>
  </si>
  <si>
    <t>P.S. BOCA AMIGO</t>
  </si>
  <si>
    <t>P.S. GUACAMAYO PACAL</t>
  </si>
  <si>
    <t xml:space="preserve">P.S. NUEVO SAN JUAN </t>
  </si>
  <si>
    <t>P.S. PUERTO LUZ</t>
  </si>
  <si>
    <t>P.S. SAN JOSE DE KARENE</t>
  </si>
  <si>
    <t>P.S. BAJO PUQUIRI</t>
  </si>
  <si>
    <t>P.S. PUNQUIRI CHICO</t>
  </si>
  <si>
    <t>P.S. BOCA COLORADO</t>
  </si>
  <si>
    <t>Boca colorado</t>
  </si>
  <si>
    <t>P.S. ALTO PUQUIRI</t>
  </si>
  <si>
    <t>Huepetue</t>
  </si>
  <si>
    <t>Madre de dios</t>
  </si>
  <si>
    <t>P.S. CAYCHIHUE</t>
  </si>
  <si>
    <t>P.S. PUNQUIRI</t>
  </si>
  <si>
    <t>P.S. QUEBRADA NUEVA</t>
  </si>
  <si>
    <t>P.S. CHOQUE</t>
  </si>
  <si>
    <t>C.S. HUEPETHUE</t>
  </si>
  <si>
    <t>P.S. PALOTOA</t>
  </si>
  <si>
    <t>P.S. MANSILLA</t>
  </si>
  <si>
    <t>P.S. ITAHUANIA</t>
  </si>
  <si>
    <t>P.S. GAMITANA</t>
  </si>
  <si>
    <t>P.S. SHINTUYA</t>
  </si>
  <si>
    <t>C.S. SALVACION</t>
  </si>
  <si>
    <t>Salvacion</t>
  </si>
  <si>
    <t>Manu</t>
  </si>
  <si>
    <t>P.S. YOMIBATO</t>
  </si>
  <si>
    <t>P.S. TAYACOME</t>
  </si>
  <si>
    <t>P.S. DIAMANTE</t>
  </si>
  <si>
    <t>P.S. BOCA MANU</t>
  </si>
  <si>
    <t>Fitzcarrald</t>
  </si>
  <si>
    <t>Total Establecimiento</t>
  </si>
  <si>
    <t>Categoria</t>
  </si>
  <si>
    <t>CATEGORIA</t>
  </si>
  <si>
    <t xml:space="preserve">ESTABLECIMIENTO </t>
  </si>
  <si>
    <t>MICRORED</t>
  </si>
  <si>
    <t>DISTRITO</t>
  </si>
  <si>
    <t xml:space="preserve">PROVINCIA </t>
  </si>
  <si>
    <t>CODIGO RENIPRES</t>
  </si>
  <si>
    <t>P.S. SHIPETIARI</t>
  </si>
  <si>
    <t xml:space="preserve">NO HAY PERSONAL </t>
  </si>
  <si>
    <t>Centro de Salud con Internamiento</t>
  </si>
  <si>
    <t>I - 4</t>
  </si>
  <si>
    <t>C.S.I SAN MARTIN DE PORRES DE IBERIA</t>
  </si>
  <si>
    <t>NO HAY PERSONAL</t>
  </si>
  <si>
    <t>P.S. FITZCARRALD</t>
  </si>
  <si>
    <t>NO PERTENECE A NINGUNA MICRORED</t>
  </si>
  <si>
    <t>Sin Categoría</t>
  </si>
  <si>
    <t xml:space="preserve">PATOLOGIA CLINICA -LABORATORIO REFERENCIAL </t>
  </si>
  <si>
    <t>C.S CENTRO DE SALUD MENTAL COMUNITARIO PUERTO MALDONADO</t>
  </si>
  <si>
    <t>HOGARES PROTEGIDOS - NUEVA ESPERANZA</t>
  </si>
  <si>
    <t>SISTEMA DE ATENCIÓN MÓVIL DE URGENCIAS MADRE DE DIOS - SAMU</t>
  </si>
  <si>
    <t>00026533</t>
  </si>
  <si>
    <t>P.S SALUD MENTAL COMUNITARIO MAZUKO</t>
  </si>
  <si>
    <t>DIRESA</t>
  </si>
  <si>
    <t>UNIDAD ORGANICA</t>
  </si>
  <si>
    <t>DIRECCIÓN DE ACCESO Y USO RACIONAL DE MEDICAMENTOS</t>
  </si>
  <si>
    <t>DIRECCION DE ADMINISTRACION</t>
  </si>
  <si>
    <t>DIRECCIÓN DE ARTICULACIÓN INTERGUBERNAMENTAL E INTERSECTORIAL</t>
  </si>
  <si>
    <t>DIRECCIÓN DE CERTIFICACIONES, AUTORIZACIONES, FISCALIZACIÓN Y SANCIÓN</t>
  </si>
  <si>
    <t>DIRECCIÓN DE CONTROL DE SERVICIOS, SEGUROS Y CALIDAD SANITARIA</t>
  </si>
  <si>
    <t>DIRECCIÓN DE CONTROL Y VIGILANCIA</t>
  </si>
  <si>
    <t>DIRECCIÓN DE EPIDEMIOLOGÍA Y GESTIÓN DE RIESGOS DE EMERGENCIAS Y DESASTRES</t>
  </si>
  <si>
    <t>DIRECCIÓN DE FISCALIZACIÓN, CONTROL DE VIGILANCIA SANITARIA</t>
  </si>
  <si>
    <t>DIRECCIÓN DE GESTIÓN DEL CUIDADO INTEGRAL DE SALUD</t>
  </si>
  <si>
    <t>DIRECCIÓN DE PARTICIPACION COMUNITARIA Y EDUCACIÓN PARA LA SALUD</t>
  </si>
  <si>
    <t>DIRECCIÓN DE TECNOLOGÍAS DE LA INFORMACIÓN</t>
  </si>
  <si>
    <t>DIRECCIÓN EJECUTIVA DE CUIDADO INTEGRAL POR CURSO DE VIDA</t>
  </si>
  <si>
    <t>DIRECCIÓN EJECUTIVA DE MEDICAMENTOS, INSUMOS Y DROGAS</t>
  </si>
  <si>
    <t>DIRECCIÓN EJECUTIVA DE PROMOCIÓN DE LA SALUD Y DETERMINANTES SOCIALES DE LA SALUD</t>
  </si>
  <si>
    <t>DIRECCIÓN EJECUTIVA DE SALUD AMBIENTAL</t>
  </si>
  <si>
    <t>DIRECCIÓN REGIONAL</t>
  </si>
  <si>
    <t>OFICINA DE ABASTECIMIENTO Y SERVICIOS GENERALES</t>
  </si>
  <si>
    <t>OFICINA DE ASESORÍA JURÍDICA</t>
  </si>
  <si>
    <t>OFICINA DE ECONOMÍA</t>
  </si>
  <si>
    <t>OFICINA DE PERSONAL</t>
  </si>
  <si>
    <t>OFICINA EJECUTIVA DE PLANEAMIENTO Y PRESUPUESTO</t>
  </si>
  <si>
    <t>ÓRGANO DE CONTROL INSTITUCIONAL</t>
  </si>
  <si>
    <t>DIRESA MDD</t>
  </si>
  <si>
    <t>Cargo</t>
  </si>
  <si>
    <t>ABOGADO/A</t>
  </si>
  <si>
    <t>ASISTENTE/A ADMINISTRATIVO I</t>
  </si>
  <si>
    <t>ASISTENTE/A ADMINISTRATIVO II</t>
  </si>
  <si>
    <t>ASISTENTE/A PROFESIONAL I</t>
  </si>
  <si>
    <t>ASISTENTE/A TECNICO/A SECRETARIAL</t>
  </si>
  <si>
    <t>AUXILIAR ADMINISTRATIVO</t>
  </si>
  <si>
    <t>AUXILIAR ASISTENCIAL</t>
  </si>
  <si>
    <t>BIOLOGO/A</t>
  </si>
  <si>
    <t>CHOFER</t>
  </si>
  <si>
    <t>CONTADOR/A I</t>
  </si>
  <si>
    <t>CONTADOR/A II</t>
  </si>
  <si>
    <t>DIGITADOR/A</t>
  </si>
  <si>
    <t>DIRECTOR/A EJECUTIVO</t>
  </si>
  <si>
    <t>DIRECTOR/A GENERAL</t>
  </si>
  <si>
    <t>ENFERMERA/O</t>
  </si>
  <si>
    <t>ESPECIALISTA ADMINISTRATIVO I</t>
  </si>
  <si>
    <t>ESPECIALISTA ADMINISTRATIVO II</t>
  </si>
  <si>
    <t>ESPECIALISTA ADMINISTRATIVO III</t>
  </si>
  <si>
    <t>ESPECIALISTA EN HIGIENE ALIMENTARIA I</t>
  </si>
  <si>
    <t>ESPECIALISTA EN MANTENIMIENTO</t>
  </si>
  <si>
    <t>ESPECIALISTA EN PLANEAMIENTO I</t>
  </si>
  <si>
    <t>ESPECIALISTA EN PROMOCION DE LA SALUD I</t>
  </si>
  <si>
    <t>ESPECIALISTA EN SALUD AMBIENTAL I</t>
  </si>
  <si>
    <t>ESPECIALISTA EN SALUD PUBLICA I</t>
  </si>
  <si>
    <t>ESPECIALISTA EN SALUD PUBLICA II</t>
  </si>
  <si>
    <t>ESPECIALISTA EN SOPORTE INFORMATICO</t>
  </si>
  <si>
    <t>JEFE/A DE OFICINA</t>
  </si>
  <si>
    <t>JEFE/A DE UNIDAD</t>
  </si>
  <si>
    <t>MECANICO/A AUTOMOTRIZ</t>
  </si>
  <si>
    <t>MEDICO</t>
  </si>
  <si>
    <t>MEDICO VETERINARIO</t>
  </si>
  <si>
    <t>NUTRICIONISTA</t>
  </si>
  <si>
    <t>OBSTETRA</t>
  </si>
  <si>
    <t>OBSTETRA EN SALUD PUBLICA</t>
  </si>
  <si>
    <t>ODONTOLOGO</t>
  </si>
  <si>
    <t>PILOTO DE AMBULANCIA</t>
  </si>
  <si>
    <t>PSICOLOGO/A</t>
  </si>
  <si>
    <t>QUIMICO FARMACEUTICO</t>
  </si>
  <si>
    <t>RELACIONISTA PUBLICO</t>
  </si>
  <si>
    <t>SECRETARIO/A GENERAL</t>
  </si>
  <si>
    <t>TECNICO/A ADMINISTRATIVO I</t>
  </si>
  <si>
    <t>TECNICO/A ADMINISTRATIVO II</t>
  </si>
  <si>
    <t>TECNICO/A ADMINISTRATIVO III</t>
  </si>
  <si>
    <t>TECNICO/A ASISTENCIAL</t>
  </si>
  <si>
    <t>TECNICO/A ASISTENCIAL POR ADECUACION R.M.421</t>
  </si>
  <si>
    <t>TECNICO/A EN ENFERMERIA I</t>
  </si>
  <si>
    <t>TECNICO/A EN ENFERMERIA II</t>
  </si>
  <si>
    <t>TECNICO/A EN ESTADISTICA</t>
  </si>
  <si>
    <t>TECNICO/A EN FARMACIA I</t>
  </si>
  <si>
    <t>TECNICO/A EN LABORATORIO I</t>
  </si>
  <si>
    <t>TECNICO/A EN NUTRICION I</t>
  </si>
  <si>
    <t>TECNICO/A EN PLANIFICACION</t>
  </si>
  <si>
    <t>TECNICO/A EN SALUD PUBLICA I</t>
  </si>
  <si>
    <t>TECNICO/A EN SEGURIDAD</t>
  </si>
  <si>
    <t>TECNICO/A EN SERVICIOS GENERALES I</t>
  </si>
  <si>
    <t>TECNICO/A EN SOPORTE INFORMATICO</t>
  </si>
  <si>
    <t>TECNICO/A SANITARIO AMBIENTAL I</t>
  </si>
  <si>
    <t>TECNICO/A SANITARIO AMBIENTAL II</t>
  </si>
  <si>
    <t>TECNICO/A SANITARIO/A I</t>
  </si>
  <si>
    <t>TECNOLOGO MEDICO LABORATORIO CLINICO Y ANATOMIA PATOLOGICA</t>
  </si>
  <si>
    <t>TRABAJADOR/A DE SERVICIOS GENERALES</t>
  </si>
  <si>
    <t>TRABAJADOR/A SOCIAL</t>
  </si>
  <si>
    <t xml:space="preserve">GRADO O SUSTENTO </t>
  </si>
  <si>
    <t>PROFESION</t>
  </si>
  <si>
    <t>Secundaria incompleta</t>
  </si>
  <si>
    <t>vacio</t>
  </si>
  <si>
    <t>Secundaria completa</t>
  </si>
  <si>
    <t xml:space="preserve">vacio </t>
  </si>
  <si>
    <t>agregar si exsite en el registro de inforhus</t>
  </si>
  <si>
    <t>TECNICO AGRONOMO</t>
  </si>
  <si>
    <t>Superior completo</t>
  </si>
  <si>
    <t>Profesión 1</t>
  </si>
  <si>
    <t>ENFERMERA(O)</t>
  </si>
  <si>
    <t>BIOLOGO</t>
  </si>
  <si>
    <t>CIRUJANO DENTISTA</t>
  </si>
  <si>
    <t>PSICOLOGO</t>
  </si>
  <si>
    <t>MEDICO CIRUJANO</t>
  </si>
  <si>
    <t>TECNICO EN ENFERMERIA</t>
  </si>
  <si>
    <t>INGENIERIA DE SISTEMAS E INFORMATICA</t>
  </si>
  <si>
    <t>VETERINARIO</t>
  </si>
  <si>
    <t>TRABAJADOR(A) SOCIAL</t>
  </si>
  <si>
    <t>LICENCIADO EN ADMINISTRACION Y NEGOCIOS INTERNACIONALES</t>
  </si>
  <si>
    <t>PROFESOR EDUCACION SECUNDARIA</t>
  </si>
  <si>
    <t>INGENIERO AGROINDUSTRIAL</t>
  </si>
  <si>
    <t>SECRETARIA EJECUTIVA</t>
  </si>
  <si>
    <t>CONTADOR PUBLICO</t>
  </si>
  <si>
    <t>PROFESOR DE EDUCACION INICIAL (PRE-ESCOLAR)</t>
  </si>
  <si>
    <t>ADMINISTRACION</t>
  </si>
  <si>
    <t>INGENIERO CIVIL</t>
  </si>
  <si>
    <t>INGENIERO QUIMICO</t>
  </si>
  <si>
    <t>RELACIONISTA PUBLICA</t>
  </si>
  <si>
    <t>TECNICO EN CONTABILIDAD</t>
  </si>
  <si>
    <t>ECONOMISTA</t>
  </si>
  <si>
    <t>ABOGADO</t>
  </si>
  <si>
    <t>SOCIOLOGO</t>
  </si>
  <si>
    <t>PROFESOR DE ENSEÑANZA PRIMARIA</t>
  </si>
  <si>
    <t>INGENIERO ELECTRICISTA</t>
  </si>
  <si>
    <t>INGENIERO INDUSTRIAS ALIMENTICIAS</t>
  </si>
  <si>
    <t>INGENIERIA DE SISTEMAS</t>
  </si>
  <si>
    <t>condicion profesion</t>
  </si>
  <si>
    <t>TITULO</t>
  </si>
  <si>
    <t>agregar si exsite en el registro de inforhus, BACHILLER, CONSTANCIA DE EGRESADO, TITULO, OTRO DOCUMENTO</t>
  </si>
  <si>
    <t>Superior incompleto</t>
  </si>
  <si>
    <t>ZOOTECNICO</t>
  </si>
  <si>
    <t>CIENCIAS DE LA COMUNICACION</t>
  </si>
  <si>
    <t>CONTABILIDAD Y FINANZAS</t>
  </si>
  <si>
    <t>ADMINISTRACION EN TURISMO Y HOTELERIA</t>
  </si>
  <si>
    <t>agregar si exsite en el registro de inforhus, BACHILLER, ESTUDIANTE, OTRO DOCUMENTO</t>
  </si>
  <si>
    <t>Técnico superior completo</t>
  </si>
  <si>
    <t>TECNICO DE FARMACIA</t>
  </si>
  <si>
    <t>TECNICO EN COMPUTACION E INFORMATICA/EN COMPUTADORAS</t>
  </si>
  <si>
    <t>TECNICO BACHILLER PROFESIONAL EN SALUD</t>
  </si>
  <si>
    <t>SECRETARIA</t>
  </si>
  <si>
    <t>TECNICO LABORATORISTA</t>
  </si>
  <si>
    <t>TECNICO EN MANTENIMIENTO</t>
  </si>
  <si>
    <t>TECNICO EN ADMINISTRACION INDUSTRIAL</t>
  </si>
  <si>
    <t>TECNICO ADMINISTRADOR</t>
  </si>
  <si>
    <t>TECNICO MECANICO, MOTORES</t>
  </si>
  <si>
    <t>TECNICO EN DESARROLLO DE SISTEMAS DE INFORMACION</t>
  </si>
  <si>
    <t>PROFESORA DE COMPUTACION E INFORMATICA (CARRERA TECNICA)</t>
  </si>
  <si>
    <t>TÉCNICO EN ADMINISTRACIÓN DE EMPRESAS</t>
  </si>
  <si>
    <t>TITULO, CONSTANCIA DE EGRESADO, VACIAS, agregar si exsite en el registro de inforhus</t>
  </si>
  <si>
    <t>Técnico superior incompleto</t>
  </si>
  <si>
    <t>TECNICO EN OBSTETRICIA</t>
  </si>
  <si>
    <t>OPERACIÓN DE COMPUTADORAS</t>
  </si>
  <si>
    <t>SECRETARIA COMERCIAL</t>
  </si>
  <si>
    <t>ANALISTA DE SISTEMAS</t>
  </si>
  <si>
    <t>TECNICO AUTOMOTRIZ</t>
  </si>
  <si>
    <t>agregar si exsite en el registro de inforhus, ESTUDIANTE, TITULO, VACIOS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</si>
</sst>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theme="0"/>
        <bgColor rgb="FFC0E6F5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13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3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vertical="center" wrapText="1"/>
    </xf>
    <xf numFmtId="0" fontId="1" fillId="0" borderId="18" xfId="0" applyFont="1" applyBorder="1" applyAlignment="1">
      <alignment horizontal="left" vertical="center" wrapText="1"/>
    </xf>
    <xf numFmtId="0" fontId="1" fillId="2" borderId="1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3" fillId="0" borderId="7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/>
    </xf>
    <xf numFmtId="0" fontId="0" fillId="3" borderId="0" xfId="0" applyFill="1"/>
    <xf numFmtId="1" fontId="3" fillId="0" borderId="7" xfId="0" applyNumberFormat="1" applyFont="1" applyBorder="1" applyAlignment="1">
      <alignment horizontal="right" vertical="center"/>
    </xf>
    <xf numFmtId="0" fontId="0" fillId="6" borderId="0" xfId="0" applyFill="1"/>
    <xf numFmtId="0" fontId="1" fillId="7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0" xfId="0" applyFont="1" applyBorder="1" applyAlignment="1">
      <alignment vertical="center" wrapText="1"/>
    </xf>
    <xf numFmtId="0" fontId="3" fillId="0" borderId="8" xfId="0" applyFont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 wrapText="1"/>
    </xf>
    <xf numFmtId="49" fontId="3" fillId="0" borderId="19" xfId="0" applyNumberFormat="1" applyFont="1" applyBorder="1" applyAlignment="1">
      <alignment wrapText="1"/>
    </xf>
    <xf numFmtId="0" fontId="3" fillId="0" borderId="24" xfId="0" applyFont="1" applyBorder="1" applyAlignment="1">
      <alignment horizontal="right" vertical="center" wrapText="1"/>
    </xf>
    <xf numFmtId="49" fontId="3" fillId="0" borderId="25" xfId="0" applyNumberFormat="1" applyFont="1" applyBorder="1" applyAlignment="1">
      <alignment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49" fontId="3" fillId="0" borderId="2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0" fillId="0" borderId="1" xfId="0" applyBorder="1" applyAlignment="1">
      <alignment wrapText="1"/>
    </xf>
    <xf numFmtId="49" fontId="3" fillId="0" borderId="27" xfId="0" applyNumberFormat="1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wrapText="1"/>
    </xf>
    <xf numFmtId="49" fontId="3" fillId="0" borderId="23" xfId="0" applyNumberFormat="1" applyFont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27" xfId="0" applyBorder="1" applyAlignment="1">
      <alignment horizontal="center" vertical="center" textRotation="255"/>
    </xf>
    <xf numFmtId="0" fontId="6" fillId="8" borderId="28" xfId="0" applyFont="1" applyFill="1" applyBorder="1" applyAlignment="1">
      <alignment horizontal="center" wrapText="1"/>
    </xf>
    <xf numFmtId="49" fontId="7" fillId="0" borderId="28" xfId="0" applyNumberFormat="1" applyFont="1" applyBorder="1" applyAlignment="1">
      <alignment wrapText="1"/>
    </xf>
    <xf numFmtId="49" fontId="7" fillId="9" borderId="28" xfId="0" applyNumberFormat="1" applyFont="1" applyFill="1" applyBorder="1" applyAlignment="1">
      <alignment wrapText="1"/>
    </xf>
    <xf numFmtId="0" fontId="0" fillId="0" borderId="2" xfId="0" applyFill="1" applyBorder="1"/>
    <xf numFmtId="0" fontId="0" fillId="0" borderId="2" xfId="0" applyBorder="1" applyAlignment="1"/>
    <xf numFmtId="49" fontId="7" fillId="0" borderId="2" xfId="0" applyNumberFormat="1" applyFont="1" applyBorder="1" applyAlignment="1">
      <alignment horizontal="center" vertical="center" wrapText="1"/>
    </xf>
    <xf numFmtId="0" fontId="0" fillId="2" borderId="2" xfId="0" applyFill="1" applyBorder="1"/>
    <xf numFmtId="0" fontId="0" fillId="2" borderId="2" xfId="0" applyFill="1" applyBorder="1" applyAlignment="1">
      <alignment horizontal="center" vertical="center" wrapText="1"/>
    </xf>
    <xf numFmtId="49" fontId="7" fillId="10" borderId="2" xfId="0" applyNumberFormat="1" applyFont="1" applyFill="1" applyBorder="1" applyAlignment="1">
      <alignment wrapText="1"/>
    </xf>
    <xf numFmtId="49" fontId="7" fillId="2" borderId="2" xfId="0" applyNumberFormat="1" applyFont="1" applyFill="1" applyBorder="1" applyAlignment="1">
      <alignment wrapText="1"/>
    </xf>
    <xf numFmtId="49" fontId="7" fillId="0" borderId="2" xfId="0" applyNumberFormat="1" applyFont="1" applyBorder="1" applyAlignment="1">
      <alignment wrapText="1"/>
    </xf>
    <xf numFmtId="49" fontId="7" fillId="9" borderId="2" xfId="0" applyNumberFormat="1" applyFont="1" applyFill="1" applyBorder="1" applyAlignment="1">
      <alignment wrapText="1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66FFCC"/>
        </patternFill>
      </fill>
    </dxf>
    <dxf>
      <fill>
        <patternFill>
          <bgColor rgb="FFCCFF33"/>
        </patternFill>
      </fill>
    </dxf>
    <dxf>
      <fill>
        <patternFill>
          <bgColor rgb="FFFF6600"/>
        </patternFill>
      </fill>
    </dxf>
    <dxf>
      <fill>
        <patternFill>
          <bgColor rgb="FF66FFCC"/>
        </patternFill>
      </fill>
    </dxf>
    <dxf>
      <fill>
        <patternFill>
          <bgColor rgb="FFCCFF33"/>
        </patternFill>
      </fill>
    </dxf>
    <dxf>
      <fill>
        <patternFill>
          <bgColor rgb="FFFF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96"/>
  <sheetViews>
    <sheetView topLeftCell="A69" zoomScale="130" zoomScaleNormal="130" workbookViewId="0">
      <selection activeCell="O7" sqref="O7"/>
    </sheetView>
  </sheetViews>
  <sheetFormatPr baseColWidth="10" defaultRowHeight="14.4" x14ac:dyDescent="0.3"/>
  <cols>
    <col min="3" max="3" width="12.88671875" customWidth="1"/>
    <col min="4" max="4" width="13.5546875" customWidth="1"/>
    <col min="5" max="6" width="13.88671875" customWidth="1"/>
    <col min="7" max="7" width="24.5546875" customWidth="1"/>
    <col min="13" max="13" width="20.33203125" bestFit="1" customWidth="1"/>
    <col min="14" max="14" width="20.33203125" customWidth="1"/>
    <col min="15" max="15" width="11.5546875" customWidth="1"/>
  </cols>
  <sheetData>
    <row r="2" spans="3:15" ht="15" thickBot="1" x14ac:dyDescent="0.35">
      <c r="C2" s="80" t="s">
        <v>112</v>
      </c>
      <c r="D2" s="80" t="s">
        <v>111</v>
      </c>
      <c r="E2" s="80" t="s">
        <v>110</v>
      </c>
      <c r="F2" s="81" t="s">
        <v>113</v>
      </c>
      <c r="G2" s="80" t="s">
        <v>109</v>
      </c>
      <c r="H2" s="69" t="s">
        <v>108</v>
      </c>
      <c r="K2" s="60" t="s">
        <v>107</v>
      </c>
      <c r="L2" s="61"/>
      <c r="M2" s="61"/>
      <c r="N2" s="62"/>
      <c r="O2" s="72" t="s">
        <v>106</v>
      </c>
    </row>
    <row r="3" spans="3:15" x14ac:dyDescent="0.3">
      <c r="C3" s="80"/>
      <c r="D3" s="80"/>
      <c r="E3" s="80"/>
      <c r="F3" s="82"/>
      <c r="G3" s="80"/>
      <c r="H3" s="71"/>
      <c r="K3" s="9" t="s">
        <v>0</v>
      </c>
      <c r="L3" s="9" t="s">
        <v>3</v>
      </c>
      <c r="M3" s="9" t="s">
        <v>5</v>
      </c>
      <c r="N3" s="44" t="s">
        <v>117</v>
      </c>
      <c r="O3" s="72"/>
    </row>
    <row r="4" spans="3:15" x14ac:dyDescent="0.3">
      <c r="C4" s="76" t="s">
        <v>100</v>
      </c>
      <c r="D4" s="76" t="s">
        <v>105</v>
      </c>
      <c r="E4" s="78" t="s">
        <v>99</v>
      </c>
      <c r="F4" s="38">
        <v>2767</v>
      </c>
      <c r="G4" s="17" t="s">
        <v>104</v>
      </c>
      <c r="H4" s="5" t="s">
        <v>3</v>
      </c>
      <c r="I4" s="37"/>
      <c r="K4" s="9">
        <f>COUNTIF($H$4:$H$96,K3)</f>
        <v>60</v>
      </c>
      <c r="L4" s="9">
        <f>COUNTIF($H$4:$H$96,L3)</f>
        <v>22</v>
      </c>
      <c r="M4" s="9">
        <f>COUNTIF($H$4:$H$96,M3)</f>
        <v>7</v>
      </c>
      <c r="N4" s="9">
        <f>COUNTIF($H$4:$H$92,N3)</f>
        <v>1</v>
      </c>
      <c r="O4" s="6">
        <f>SUM(K4:M4)</f>
        <v>89</v>
      </c>
    </row>
    <row r="5" spans="3:15" x14ac:dyDescent="0.3">
      <c r="C5" s="76"/>
      <c r="D5" s="76"/>
      <c r="E5" s="78"/>
      <c r="F5" s="31">
        <v>2787</v>
      </c>
      <c r="G5" s="11" t="s">
        <v>103</v>
      </c>
      <c r="H5" s="2" t="s">
        <v>0</v>
      </c>
      <c r="I5" s="37"/>
    </row>
    <row r="6" spans="3:15" x14ac:dyDescent="0.3">
      <c r="C6" s="76"/>
      <c r="D6" s="76"/>
      <c r="E6" s="78"/>
      <c r="F6" s="31">
        <v>2771</v>
      </c>
      <c r="G6" s="11" t="s">
        <v>102</v>
      </c>
      <c r="H6" s="2" t="s">
        <v>0</v>
      </c>
      <c r="I6" s="37"/>
    </row>
    <row r="7" spans="3:15" ht="15" thickBot="1" x14ac:dyDescent="0.35">
      <c r="C7" s="76"/>
      <c r="D7" s="76"/>
      <c r="E7" s="78"/>
      <c r="F7" s="32">
        <v>2772</v>
      </c>
      <c r="G7" s="11" t="s">
        <v>101</v>
      </c>
      <c r="H7" s="4" t="s">
        <v>0</v>
      </c>
      <c r="I7" s="37"/>
    </row>
    <row r="8" spans="3:15" x14ac:dyDescent="0.3">
      <c r="C8" s="76"/>
      <c r="D8" s="76" t="s">
        <v>100</v>
      </c>
      <c r="E8" s="78" t="s">
        <v>99</v>
      </c>
      <c r="F8" s="33">
        <v>2773</v>
      </c>
      <c r="G8" s="18" t="s">
        <v>98</v>
      </c>
      <c r="H8" s="3" t="s">
        <v>5</v>
      </c>
      <c r="I8" s="37"/>
    </row>
    <row r="9" spans="3:15" x14ac:dyDescent="0.3">
      <c r="C9" s="76"/>
      <c r="D9" s="76"/>
      <c r="E9" s="78"/>
      <c r="F9" s="31">
        <v>2776</v>
      </c>
      <c r="G9" s="11" t="s">
        <v>97</v>
      </c>
      <c r="H9" s="2" t="s">
        <v>0</v>
      </c>
      <c r="I9" s="37"/>
    </row>
    <row r="10" spans="3:15" x14ac:dyDescent="0.3">
      <c r="C10" s="76"/>
      <c r="D10" s="76"/>
      <c r="E10" s="78"/>
      <c r="F10" s="31">
        <v>2782</v>
      </c>
      <c r="G10" s="11" t="s">
        <v>96</v>
      </c>
      <c r="H10" s="2" t="s">
        <v>0</v>
      </c>
      <c r="I10" s="37"/>
    </row>
    <row r="11" spans="3:15" x14ac:dyDescent="0.3">
      <c r="C11" s="76"/>
      <c r="D11" s="76"/>
      <c r="E11" s="78"/>
      <c r="F11" s="31">
        <v>2780</v>
      </c>
      <c r="G11" s="11" t="s">
        <v>95</v>
      </c>
      <c r="H11" s="2" t="s">
        <v>3</v>
      </c>
      <c r="I11" s="37"/>
    </row>
    <row r="12" spans="3:15" x14ac:dyDescent="0.3">
      <c r="C12" s="76"/>
      <c r="D12" s="76"/>
      <c r="E12" s="78"/>
      <c r="F12" s="31">
        <v>2781</v>
      </c>
      <c r="G12" s="11" t="s">
        <v>94</v>
      </c>
      <c r="H12" s="2" t="s">
        <v>0</v>
      </c>
      <c r="I12" s="37"/>
    </row>
    <row r="13" spans="3:15" x14ac:dyDescent="0.3">
      <c r="C13" s="76"/>
      <c r="D13" s="76"/>
      <c r="E13" s="78"/>
      <c r="F13" s="32">
        <v>28935</v>
      </c>
      <c r="G13" s="11" t="s">
        <v>114</v>
      </c>
      <c r="H13" s="2" t="s">
        <v>0</v>
      </c>
      <c r="I13" s="37"/>
    </row>
    <row r="14" spans="3:15" ht="15" thickBot="1" x14ac:dyDescent="0.35">
      <c r="C14" s="76"/>
      <c r="D14" s="76"/>
      <c r="E14" s="78"/>
      <c r="F14" s="34">
        <v>2770</v>
      </c>
      <c r="G14" s="13" t="s">
        <v>93</v>
      </c>
      <c r="H14" s="4" t="s">
        <v>0</v>
      </c>
      <c r="I14" s="37"/>
    </row>
    <row r="15" spans="3:15" ht="15" thickTop="1" x14ac:dyDescent="0.3">
      <c r="C15" s="76"/>
      <c r="D15" s="76" t="s">
        <v>86</v>
      </c>
      <c r="E15" s="78" t="s">
        <v>86</v>
      </c>
      <c r="F15" s="33">
        <v>2775</v>
      </c>
      <c r="G15" s="19" t="s">
        <v>92</v>
      </c>
      <c r="H15" s="8" t="s">
        <v>5</v>
      </c>
      <c r="I15" s="37"/>
    </row>
    <row r="16" spans="3:15" ht="15" thickBot="1" x14ac:dyDescent="0.35">
      <c r="C16" s="76"/>
      <c r="D16" s="76"/>
      <c r="E16" s="78"/>
      <c r="F16" s="31">
        <v>2785</v>
      </c>
      <c r="G16" s="11" t="s">
        <v>91</v>
      </c>
      <c r="H16" s="2" t="s">
        <v>0</v>
      </c>
      <c r="I16" s="37"/>
      <c r="M16" s="45"/>
    </row>
    <row r="17" spans="3:10" x14ac:dyDescent="0.3">
      <c r="C17" s="76"/>
      <c r="D17" s="76"/>
      <c r="E17" s="78"/>
      <c r="F17" s="33">
        <v>2786</v>
      </c>
      <c r="G17" s="17" t="s">
        <v>90</v>
      </c>
      <c r="H17" s="5" t="s">
        <v>3</v>
      </c>
      <c r="I17" s="37"/>
    </row>
    <row r="18" spans="3:10" x14ac:dyDescent="0.3">
      <c r="C18" s="76"/>
      <c r="D18" s="76"/>
      <c r="E18" s="78"/>
      <c r="F18" s="31">
        <v>2778</v>
      </c>
      <c r="G18" s="11" t="s">
        <v>89</v>
      </c>
      <c r="H18" s="2" t="s">
        <v>0</v>
      </c>
      <c r="I18" s="37"/>
    </row>
    <row r="19" spans="3:10" ht="15" thickBot="1" x14ac:dyDescent="0.35">
      <c r="C19" s="76"/>
      <c r="D19" s="76"/>
      <c r="E19" s="78"/>
      <c r="F19" s="34">
        <v>2784</v>
      </c>
      <c r="G19" s="20" t="s">
        <v>88</v>
      </c>
      <c r="H19" s="7" t="s">
        <v>0</v>
      </c>
      <c r="I19" s="37"/>
    </row>
    <row r="20" spans="3:10" ht="15" thickBot="1" x14ac:dyDescent="0.35">
      <c r="C20" s="76"/>
      <c r="D20" s="76" t="s">
        <v>87</v>
      </c>
      <c r="E20" s="15" t="s">
        <v>86</v>
      </c>
      <c r="F20" s="30">
        <v>6968</v>
      </c>
      <c r="G20" s="21" t="s">
        <v>85</v>
      </c>
      <c r="H20" s="5" t="s">
        <v>0</v>
      </c>
      <c r="I20" s="37"/>
    </row>
    <row r="21" spans="3:10" ht="15" thickTop="1" x14ac:dyDescent="0.3">
      <c r="C21" s="76"/>
      <c r="D21" s="76"/>
      <c r="E21" s="78" t="s">
        <v>84</v>
      </c>
      <c r="F21" s="30">
        <v>2774</v>
      </c>
      <c r="G21" s="19" t="s">
        <v>83</v>
      </c>
      <c r="H21" s="5" t="s">
        <v>3</v>
      </c>
      <c r="I21" s="37"/>
    </row>
    <row r="22" spans="3:10" x14ac:dyDescent="0.3">
      <c r="C22" s="76"/>
      <c r="D22" s="76"/>
      <c r="E22" s="78"/>
      <c r="F22" s="31">
        <v>7702</v>
      </c>
      <c r="G22" s="11" t="s">
        <v>82</v>
      </c>
      <c r="H22" s="2" t="s">
        <v>0</v>
      </c>
      <c r="I22" s="37"/>
    </row>
    <row r="23" spans="3:10" x14ac:dyDescent="0.3">
      <c r="C23" s="76"/>
      <c r="D23" s="76"/>
      <c r="E23" s="78"/>
      <c r="F23" s="31">
        <v>7715</v>
      </c>
      <c r="G23" s="11" t="s">
        <v>81</v>
      </c>
      <c r="H23" s="2" t="s">
        <v>3</v>
      </c>
      <c r="I23" s="37"/>
    </row>
    <row r="24" spans="3:10" x14ac:dyDescent="0.3">
      <c r="C24" s="76"/>
      <c r="D24" s="76"/>
      <c r="E24" s="78"/>
      <c r="F24" s="31">
        <v>2779</v>
      </c>
      <c r="G24" s="11" t="s">
        <v>80</v>
      </c>
      <c r="H24" s="2" t="s">
        <v>0</v>
      </c>
      <c r="I24" s="39"/>
      <c r="J24" t="s">
        <v>115</v>
      </c>
    </row>
    <row r="25" spans="3:10" ht="15" thickBot="1" x14ac:dyDescent="0.35">
      <c r="C25" s="76"/>
      <c r="D25" s="76"/>
      <c r="E25" s="78"/>
      <c r="F25" s="32">
        <v>2788</v>
      </c>
      <c r="G25" s="11" t="s">
        <v>79</v>
      </c>
      <c r="H25" s="4" t="s">
        <v>0</v>
      </c>
      <c r="I25" s="37"/>
    </row>
    <row r="26" spans="3:10" x14ac:dyDescent="0.3">
      <c r="C26" s="76"/>
      <c r="D26" s="76"/>
      <c r="E26" s="78"/>
      <c r="F26" s="33">
        <v>28922</v>
      </c>
      <c r="G26" s="17" t="s">
        <v>78</v>
      </c>
      <c r="H26" s="3" t="s">
        <v>3</v>
      </c>
      <c r="I26" s="37"/>
    </row>
    <row r="27" spans="3:10" x14ac:dyDescent="0.3">
      <c r="C27" s="76"/>
      <c r="D27" s="76"/>
      <c r="E27" s="78"/>
      <c r="F27" s="31">
        <v>2769</v>
      </c>
      <c r="G27" s="11" t="s">
        <v>77</v>
      </c>
      <c r="H27" s="2" t="s">
        <v>0</v>
      </c>
      <c r="I27" s="37"/>
    </row>
    <row r="28" spans="3:10" ht="15" thickBot="1" x14ac:dyDescent="0.35">
      <c r="C28" s="76"/>
      <c r="D28" s="76"/>
      <c r="E28" s="78"/>
      <c r="F28" s="34">
        <v>2743</v>
      </c>
      <c r="G28" s="20" t="s">
        <v>76</v>
      </c>
      <c r="H28" s="1" t="s">
        <v>0</v>
      </c>
      <c r="I28" s="37"/>
    </row>
    <row r="29" spans="3:10" x14ac:dyDescent="0.3">
      <c r="C29" s="76" t="s">
        <v>75</v>
      </c>
      <c r="D29" s="76" t="s">
        <v>75</v>
      </c>
      <c r="E29" s="78" t="s">
        <v>74</v>
      </c>
      <c r="F29" s="33">
        <v>2801</v>
      </c>
      <c r="G29" s="22" t="s">
        <v>73</v>
      </c>
      <c r="H29" s="3" t="s">
        <v>3</v>
      </c>
      <c r="I29" s="37"/>
    </row>
    <row r="30" spans="3:10" x14ac:dyDescent="0.3">
      <c r="C30" s="76"/>
      <c r="D30" s="76"/>
      <c r="E30" s="78"/>
      <c r="F30" s="31">
        <v>2804</v>
      </c>
      <c r="G30" s="11" t="s">
        <v>72</v>
      </c>
      <c r="H30" s="2" t="s">
        <v>0</v>
      </c>
      <c r="I30" s="39"/>
      <c r="J30" t="s">
        <v>119</v>
      </c>
    </row>
    <row r="31" spans="3:10" ht="15" thickBot="1" x14ac:dyDescent="0.35">
      <c r="C31" s="76"/>
      <c r="D31" s="76"/>
      <c r="E31" s="78"/>
      <c r="F31" s="34">
        <v>2805</v>
      </c>
      <c r="G31" s="12" t="s">
        <v>71</v>
      </c>
      <c r="H31" s="1" t="s">
        <v>0</v>
      </c>
      <c r="I31" s="37"/>
    </row>
    <row r="32" spans="3:10" x14ac:dyDescent="0.3">
      <c r="C32" s="76"/>
      <c r="D32" s="76"/>
      <c r="E32" s="78"/>
      <c r="F32" s="33">
        <v>2806</v>
      </c>
      <c r="G32" s="23" t="s">
        <v>70</v>
      </c>
      <c r="H32" s="3" t="s">
        <v>0</v>
      </c>
      <c r="I32" s="37"/>
    </row>
    <row r="33" spans="3:12" x14ac:dyDescent="0.3">
      <c r="C33" s="76"/>
      <c r="D33" s="76"/>
      <c r="E33" s="78"/>
      <c r="F33" s="31">
        <v>2802</v>
      </c>
      <c r="G33" s="11" t="s">
        <v>69</v>
      </c>
      <c r="H33" s="2" t="s">
        <v>0</v>
      </c>
      <c r="I33" s="37"/>
    </row>
    <row r="34" spans="3:12" x14ac:dyDescent="0.3">
      <c r="C34" s="76"/>
      <c r="D34" s="76"/>
      <c r="E34" s="78"/>
      <c r="F34" s="31">
        <v>2803</v>
      </c>
      <c r="G34" s="11" t="s">
        <v>68</v>
      </c>
      <c r="H34" s="2" t="s">
        <v>0</v>
      </c>
      <c r="I34" s="37"/>
    </row>
    <row r="35" spans="3:12" ht="15" thickBot="1" x14ac:dyDescent="0.35">
      <c r="C35" s="76"/>
      <c r="D35" s="76"/>
      <c r="E35" s="78"/>
      <c r="F35" s="34">
        <v>2807</v>
      </c>
      <c r="G35" s="12" t="s">
        <v>67</v>
      </c>
      <c r="H35" s="1" t="s">
        <v>0</v>
      </c>
      <c r="I35" s="37"/>
    </row>
    <row r="36" spans="3:12" ht="28.2" thickBot="1" x14ac:dyDescent="0.35">
      <c r="C36" s="76"/>
      <c r="D36" s="69" t="s">
        <v>62</v>
      </c>
      <c r="E36" s="69" t="s">
        <v>62</v>
      </c>
      <c r="F36" s="36">
        <v>2793</v>
      </c>
      <c r="G36" s="21" t="s">
        <v>118</v>
      </c>
      <c r="H36" s="40" t="s">
        <v>117</v>
      </c>
      <c r="I36" s="37"/>
      <c r="J36" s="41" t="s">
        <v>116</v>
      </c>
      <c r="K36" s="41"/>
      <c r="L36" s="41"/>
    </row>
    <row r="37" spans="3:12" x14ac:dyDescent="0.3">
      <c r="C37" s="76"/>
      <c r="D37" s="70"/>
      <c r="E37" s="70"/>
      <c r="F37" s="31">
        <v>2798</v>
      </c>
      <c r="G37" s="11" t="s">
        <v>66</v>
      </c>
      <c r="H37" s="3" t="s">
        <v>3</v>
      </c>
      <c r="I37" s="37"/>
    </row>
    <row r="38" spans="3:12" x14ac:dyDescent="0.3">
      <c r="C38" s="76"/>
      <c r="D38" s="70"/>
      <c r="E38" s="70"/>
      <c r="F38" s="31">
        <v>2794</v>
      </c>
      <c r="G38" s="11" t="s">
        <v>65</v>
      </c>
      <c r="H38" s="2" t="s">
        <v>0</v>
      </c>
      <c r="I38" s="39"/>
      <c r="J38" t="s">
        <v>115</v>
      </c>
    </row>
    <row r="39" spans="3:12" ht="15" thickBot="1" x14ac:dyDescent="0.35">
      <c r="C39" s="76"/>
      <c r="D39" s="71"/>
      <c r="E39" s="71"/>
      <c r="F39" s="34">
        <v>2800</v>
      </c>
      <c r="G39" s="12" t="s">
        <v>64</v>
      </c>
      <c r="H39" s="1" t="s">
        <v>3</v>
      </c>
      <c r="I39" s="37"/>
    </row>
    <row r="40" spans="3:12" x14ac:dyDescent="0.3">
      <c r="C40" s="76"/>
      <c r="D40" s="76" t="s">
        <v>63</v>
      </c>
      <c r="E40" s="78" t="s">
        <v>62</v>
      </c>
      <c r="F40" s="33">
        <v>2789</v>
      </c>
      <c r="G40" s="24" t="s">
        <v>61</v>
      </c>
      <c r="H40" s="3" t="s">
        <v>3</v>
      </c>
      <c r="I40" s="37"/>
    </row>
    <row r="41" spans="3:12" x14ac:dyDescent="0.3">
      <c r="C41" s="76"/>
      <c r="D41" s="76"/>
      <c r="E41" s="78"/>
      <c r="F41" s="31">
        <v>2790</v>
      </c>
      <c r="G41" s="11" t="s">
        <v>60</v>
      </c>
      <c r="H41" s="2" t="s">
        <v>0</v>
      </c>
      <c r="I41" s="37"/>
    </row>
    <row r="42" spans="3:12" ht="15" thickBot="1" x14ac:dyDescent="0.35">
      <c r="C42" s="76"/>
      <c r="D42" s="76"/>
      <c r="E42" s="78"/>
      <c r="F42" s="43">
        <v>2791</v>
      </c>
      <c r="G42" s="20" t="s">
        <v>59</v>
      </c>
      <c r="H42" s="7" t="s">
        <v>0</v>
      </c>
      <c r="I42" s="37"/>
    </row>
    <row r="43" spans="3:12" ht="15" thickTop="1" x14ac:dyDescent="0.3">
      <c r="C43" s="66" t="s">
        <v>26</v>
      </c>
      <c r="D43" s="69" t="s">
        <v>58</v>
      </c>
      <c r="E43" s="79" t="s">
        <v>44</v>
      </c>
      <c r="F43" s="30">
        <v>2741</v>
      </c>
      <c r="G43" s="42" t="s">
        <v>57</v>
      </c>
      <c r="H43" s="5" t="s">
        <v>0</v>
      </c>
      <c r="I43" s="37"/>
    </row>
    <row r="44" spans="3:12" ht="15" thickBot="1" x14ac:dyDescent="0.35">
      <c r="C44" s="67"/>
      <c r="D44" s="70"/>
      <c r="E44" s="79"/>
      <c r="F44" s="34">
        <v>2740</v>
      </c>
      <c r="G44" s="12" t="s">
        <v>56</v>
      </c>
      <c r="H44" s="1" t="s">
        <v>0</v>
      </c>
      <c r="I44" s="37"/>
    </row>
    <row r="45" spans="3:12" x14ac:dyDescent="0.3">
      <c r="C45" s="67"/>
      <c r="D45" s="70"/>
      <c r="E45" s="78" t="s">
        <v>55</v>
      </c>
      <c r="F45" s="33">
        <v>2729</v>
      </c>
      <c r="G45" s="10" t="s">
        <v>54</v>
      </c>
      <c r="H45" s="3" t="s">
        <v>5</v>
      </c>
      <c r="I45" s="37"/>
    </row>
    <row r="46" spans="3:12" x14ac:dyDescent="0.3">
      <c r="C46" s="67"/>
      <c r="D46" s="70"/>
      <c r="E46" s="78"/>
      <c r="F46" s="31">
        <v>2732</v>
      </c>
      <c r="G46" s="29" t="s">
        <v>53</v>
      </c>
      <c r="H46" s="2" t="s">
        <v>0</v>
      </c>
      <c r="I46" s="39"/>
    </row>
    <row r="47" spans="3:12" ht="15" thickBot="1" x14ac:dyDescent="0.35">
      <c r="C47" s="67"/>
      <c r="D47" s="70"/>
      <c r="E47" s="78"/>
      <c r="F47" s="32">
        <v>2735</v>
      </c>
      <c r="G47" s="13" t="s">
        <v>52</v>
      </c>
      <c r="H47" s="4" t="s">
        <v>0</v>
      </c>
      <c r="I47" s="37"/>
    </row>
    <row r="48" spans="3:12" x14ac:dyDescent="0.3">
      <c r="C48" s="67"/>
      <c r="D48" s="70"/>
      <c r="E48" s="78"/>
      <c r="F48" s="33">
        <v>2737</v>
      </c>
      <c r="G48" s="23" t="s">
        <v>51</v>
      </c>
      <c r="H48" s="3" t="s">
        <v>3</v>
      </c>
      <c r="I48" s="37"/>
    </row>
    <row r="49" spans="3:10" x14ac:dyDescent="0.3">
      <c r="C49" s="67"/>
      <c r="D49" s="70"/>
      <c r="E49" s="78"/>
      <c r="F49" s="31">
        <v>2730</v>
      </c>
      <c r="G49" s="11" t="s">
        <v>50</v>
      </c>
      <c r="H49" s="2" t="s">
        <v>0</v>
      </c>
      <c r="I49" s="37"/>
    </row>
    <row r="50" spans="3:10" x14ac:dyDescent="0.3">
      <c r="C50" s="67"/>
      <c r="D50" s="70"/>
      <c r="E50" s="78"/>
      <c r="F50" s="31">
        <v>2742</v>
      </c>
      <c r="G50" s="11" t="s">
        <v>49</v>
      </c>
      <c r="H50" s="2" t="s">
        <v>0</v>
      </c>
      <c r="I50" s="37"/>
    </row>
    <row r="51" spans="3:10" ht="15" thickBot="1" x14ac:dyDescent="0.35">
      <c r="C51" s="67"/>
      <c r="D51" s="70"/>
      <c r="E51" s="78"/>
      <c r="F51" s="34">
        <v>2736</v>
      </c>
      <c r="G51" s="12" t="s">
        <v>48</v>
      </c>
      <c r="H51" s="1" t="s">
        <v>3</v>
      </c>
      <c r="I51" s="37"/>
    </row>
    <row r="52" spans="3:10" x14ac:dyDescent="0.3">
      <c r="C52" s="67"/>
      <c r="D52" s="70"/>
      <c r="E52" s="78"/>
      <c r="F52" s="35">
        <v>2738</v>
      </c>
      <c r="G52" s="23" t="s">
        <v>47</v>
      </c>
      <c r="H52" s="3" t="s">
        <v>0</v>
      </c>
      <c r="I52" s="37"/>
    </row>
    <row r="53" spans="3:10" x14ac:dyDescent="0.3">
      <c r="C53" s="67"/>
      <c r="D53" s="70"/>
      <c r="E53" s="78"/>
      <c r="F53" s="31">
        <v>2739</v>
      </c>
      <c r="G53" s="11" t="s">
        <v>46</v>
      </c>
      <c r="H53" s="2" t="s">
        <v>3</v>
      </c>
      <c r="I53" s="37"/>
    </row>
    <row r="54" spans="3:10" ht="15" thickBot="1" x14ac:dyDescent="0.35">
      <c r="C54" s="67"/>
      <c r="D54" s="70"/>
      <c r="E54" s="66"/>
      <c r="F54" s="32">
        <v>2731</v>
      </c>
      <c r="G54" s="13" t="s">
        <v>45</v>
      </c>
      <c r="H54" s="4" t="s">
        <v>0</v>
      </c>
      <c r="I54" s="37"/>
    </row>
    <row r="55" spans="3:10" ht="43.8" thickBot="1" x14ac:dyDescent="0.35">
      <c r="C55" s="67"/>
      <c r="D55" s="71"/>
      <c r="E55" s="49" t="s">
        <v>121</v>
      </c>
      <c r="F55" s="46">
        <v>28682</v>
      </c>
      <c r="G55" s="47" t="s">
        <v>128</v>
      </c>
      <c r="H55" s="48" t="s">
        <v>3</v>
      </c>
      <c r="I55" s="37"/>
    </row>
    <row r="56" spans="3:10" x14ac:dyDescent="0.3">
      <c r="C56" s="67"/>
      <c r="D56" s="76" t="s">
        <v>44</v>
      </c>
      <c r="E56" s="74" t="s">
        <v>44</v>
      </c>
      <c r="F56" s="30">
        <v>2758</v>
      </c>
      <c r="G56" s="22" t="s">
        <v>43</v>
      </c>
      <c r="H56" s="5" t="s">
        <v>3</v>
      </c>
      <c r="I56" s="37"/>
    </row>
    <row r="57" spans="3:10" x14ac:dyDescent="0.3">
      <c r="C57" s="67"/>
      <c r="D57" s="76"/>
      <c r="E57" s="75"/>
      <c r="F57" s="31">
        <v>2759</v>
      </c>
      <c r="G57" s="11" t="s">
        <v>42</v>
      </c>
      <c r="H57" s="2" t="s">
        <v>0</v>
      </c>
      <c r="I57" s="37"/>
    </row>
    <row r="58" spans="3:10" x14ac:dyDescent="0.3">
      <c r="C58" s="67"/>
      <c r="D58" s="76"/>
      <c r="E58" s="75"/>
      <c r="F58" s="31">
        <v>2762</v>
      </c>
      <c r="G58" s="11" t="s">
        <v>41</v>
      </c>
      <c r="H58" s="2" t="s">
        <v>0</v>
      </c>
      <c r="I58" s="39"/>
      <c r="J58" t="s">
        <v>119</v>
      </c>
    </row>
    <row r="59" spans="3:10" x14ac:dyDescent="0.3">
      <c r="C59" s="67"/>
      <c r="D59" s="76"/>
      <c r="E59" s="75"/>
      <c r="F59" s="31">
        <v>2765</v>
      </c>
      <c r="G59" s="11" t="s">
        <v>40</v>
      </c>
      <c r="H59" s="2" t="s">
        <v>0</v>
      </c>
      <c r="I59" s="37"/>
    </row>
    <row r="60" spans="3:10" ht="15" thickBot="1" x14ac:dyDescent="0.35">
      <c r="C60" s="67"/>
      <c r="D60" s="76"/>
      <c r="E60" s="75"/>
      <c r="F60" s="32">
        <v>11412</v>
      </c>
      <c r="G60" s="25" t="s">
        <v>39</v>
      </c>
      <c r="H60" s="4" t="s">
        <v>0</v>
      </c>
      <c r="I60" s="37"/>
    </row>
    <row r="61" spans="3:10" x14ac:dyDescent="0.3">
      <c r="C61" s="67"/>
      <c r="D61" s="76"/>
      <c r="E61" s="75"/>
      <c r="F61" s="33">
        <v>2763</v>
      </c>
      <c r="G61" s="23" t="s">
        <v>38</v>
      </c>
      <c r="H61" s="3" t="s">
        <v>0</v>
      </c>
      <c r="I61" s="37"/>
    </row>
    <row r="62" spans="3:10" x14ac:dyDescent="0.3">
      <c r="C62" s="67"/>
      <c r="D62" s="76"/>
      <c r="E62" s="75"/>
      <c r="F62" s="31">
        <v>2760</v>
      </c>
      <c r="G62" s="11" t="s">
        <v>37</v>
      </c>
      <c r="H62" s="2" t="s">
        <v>0</v>
      </c>
      <c r="I62" s="37"/>
    </row>
    <row r="63" spans="3:10" x14ac:dyDescent="0.3">
      <c r="C63" s="67"/>
      <c r="D63" s="76" t="s">
        <v>36</v>
      </c>
      <c r="E63" s="77" t="s">
        <v>23</v>
      </c>
      <c r="F63" s="30">
        <v>2746</v>
      </c>
      <c r="G63" s="26" t="s">
        <v>35</v>
      </c>
      <c r="H63" s="5" t="s">
        <v>3</v>
      </c>
      <c r="I63" s="37"/>
    </row>
    <row r="64" spans="3:10" ht="15" thickBot="1" x14ac:dyDescent="0.35">
      <c r="C64" s="67"/>
      <c r="D64" s="76"/>
      <c r="E64" s="77"/>
      <c r="F64" s="31">
        <v>2749</v>
      </c>
      <c r="G64" s="13" t="s">
        <v>34</v>
      </c>
      <c r="H64" s="4" t="s">
        <v>0</v>
      </c>
      <c r="I64" s="37"/>
    </row>
    <row r="65" spans="3:9" x14ac:dyDescent="0.3">
      <c r="C65" s="67"/>
      <c r="D65" s="76"/>
      <c r="E65" s="78" t="s">
        <v>25</v>
      </c>
      <c r="F65" s="33">
        <v>2744</v>
      </c>
      <c r="G65" s="10" t="s">
        <v>33</v>
      </c>
      <c r="H65" s="3" t="s">
        <v>3</v>
      </c>
      <c r="I65" s="37"/>
    </row>
    <row r="66" spans="3:9" ht="15" thickBot="1" x14ac:dyDescent="0.35">
      <c r="C66" s="67"/>
      <c r="D66" s="76"/>
      <c r="E66" s="78"/>
      <c r="F66" s="36">
        <v>2751</v>
      </c>
      <c r="G66" s="27" t="s">
        <v>32</v>
      </c>
      <c r="H66" s="4" t="s">
        <v>0</v>
      </c>
      <c r="I66" s="37"/>
    </row>
    <row r="67" spans="3:9" x14ac:dyDescent="0.3">
      <c r="C67" s="67"/>
      <c r="D67" s="76"/>
      <c r="E67" s="78"/>
      <c r="F67" s="33">
        <v>2748</v>
      </c>
      <c r="G67" s="23" t="s">
        <v>31</v>
      </c>
      <c r="H67" s="3" t="s">
        <v>3</v>
      </c>
      <c r="I67" s="37"/>
    </row>
    <row r="68" spans="3:9" ht="15" thickBot="1" x14ac:dyDescent="0.35">
      <c r="C68" s="67"/>
      <c r="D68" s="76"/>
      <c r="E68" s="78"/>
      <c r="F68" s="34">
        <v>2745</v>
      </c>
      <c r="G68" s="28" t="s">
        <v>30</v>
      </c>
      <c r="H68" s="1" t="s">
        <v>3</v>
      </c>
      <c r="I68" s="37"/>
    </row>
    <row r="69" spans="3:9" x14ac:dyDescent="0.3">
      <c r="C69" s="67"/>
      <c r="D69" s="76"/>
      <c r="E69" s="78"/>
      <c r="F69" s="33">
        <v>2752</v>
      </c>
      <c r="G69" s="23" t="s">
        <v>29</v>
      </c>
      <c r="H69" s="3" t="s">
        <v>0</v>
      </c>
      <c r="I69" s="37"/>
    </row>
    <row r="70" spans="3:9" x14ac:dyDescent="0.3">
      <c r="C70" s="67"/>
      <c r="D70" s="76"/>
      <c r="E70" s="78"/>
      <c r="F70" s="31">
        <v>2726</v>
      </c>
      <c r="G70" s="11" t="s">
        <v>28</v>
      </c>
      <c r="H70" s="2" t="s">
        <v>0</v>
      </c>
      <c r="I70" s="37"/>
    </row>
    <row r="71" spans="3:9" x14ac:dyDescent="0.3">
      <c r="C71" s="67"/>
      <c r="D71" s="76"/>
      <c r="E71" s="78"/>
      <c r="F71" s="31">
        <v>2753</v>
      </c>
      <c r="G71" s="11" t="s">
        <v>27</v>
      </c>
      <c r="H71" s="2" t="s">
        <v>0</v>
      </c>
      <c r="I71" s="37"/>
    </row>
    <row r="72" spans="3:9" ht="15" thickBot="1" x14ac:dyDescent="0.35">
      <c r="C72" s="67"/>
      <c r="D72" s="66" t="s">
        <v>26</v>
      </c>
      <c r="E72" s="16" t="s">
        <v>25</v>
      </c>
      <c r="F72" s="34">
        <v>2712</v>
      </c>
      <c r="G72" s="11" t="s">
        <v>24</v>
      </c>
      <c r="H72" s="2" t="s">
        <v>0</v>
      </c>
      <c r="I72" s="37"/>
    </row>
    <row r="73" spans="3:9" x14ac:dyDescent="0.3">
      <c r="C73" s="67"/>
      <c r="D73" s="67"/>
      <c r="E73" s="73" t="s">
        <v>23</v>
      </c>
      <c r="F73" s="33">
        <v>34156</v>
      </c>
      <c r="G73" s="10" t="s">
        <v>22</v>
      </c>
      <c r="H73" s="3" t="s">
        <v>5</v>
      </c>
      <c r="I73" s="37"/>
    </row>
    <row r="74" spans="3:9" x14ac:dyDescent="0.3">
      <c r="C74" s="67"/>
      <c r="D74" s="67"/>
      <c r="E74" s="73"/>
      <c r="F74" s="31">
        <v>31536</v>
      </c>
      <c r="G74" s="11" t="s">
        <v>21</v>
      </c>
      <c r="H74" s="2" t="s">
        <v>3</v>
      </c>
      <c r="I74" s="37"/>
    </row>
    <row r="75" spans="3:9" ht="15" thickBot="1" x14ac:dyDescent="0.35">
      <c r="C75" s="67"/>
      <c r="D75" s="67"/>
      <c r="E75" s="73"/>
      <c r="F75" s="34">
        <v>2701</v>
      </c>
      <c r="G75" s="12" t="s">
        <v>20</v>
      </c>
      <c r="H75" s="1" t="s">
        <v>0</v>
      </c>
      <c r="I75" s="37"/>
    </row>
    <row r="76" spans="3:9" x14ac:dyDescent="0.3">
      <c r="C76" s="67"/>
      <c r="D76" s="67"/>
      <c r="E76" s="73"/>
      <c r="F76" s="31">
        <v>2707</v>
      </c>
      <c r="G76" s="11" t="s">
        <v>19</v>
      </c>
      <c r="H76" s="2" t="s">
        <v>0</v>
      </c>
      <c r="I76" s="37"/>
    </row>
    <row r="77" spans="3:9" x14ac:dyDescent="0.3">
      <c r="C77" s="67"/>
      <c r="D77" s="67"/>
      <c r="E77" s="73"/>
      <c r="F77" s="31">
        <v>2699</v>
      </c>
      <c r="G77" s="11" t="s">
        <v>18</v>
      </c>
      <c r="H77" s="2" t="s">
        <v>0</v>
      </c>
      <c r="I77" s="37"/>
    </row>
    <row r="78" spans="3:9" ht="15" thickBot="1" x14ac:dyDescent="0.35">
      <c r="C78" s="67"/>
      <c r="D78" s="67"/>
      <c r="E78" s="73"/>
      <c r="F78" s="32">
        <v>2710</v>
      </c>
      <c r="G78" s="13" t="s">
        <v>17</v>
      </c>
      <c r="H78" s="4" t="s">
        <v>0</v>
      </c>
      <c r="I78" s="37"/>
    </row>
    <row r="79" spans="3:9" x14ac:dyDescent="0.3">
      <c r="C79" s="67"/>
      <c r="D79" s="67"/>
      <c r="E79" s="73"/>
      <c r="F79" s="33">
        <v>2721</v>
      </c>
      <c r="G79" s="14" t="s">
        <v>16</v>
      </c>
      <c r="H79" s="3" t="s">
        <v>0</v>
      </c>
      <c r="I79" s="37"/>
    </row>
    <row r="80" spans="3:9" x14ac:dyDescent="0.3">
      <c r="C80" s="67"/>
      <c r="D80" s="67"/>
      <c r="E80" s="73"/>
      <c r="F80" s="31">
        <v>2700</v>
      </c>
      <c r="G80" s="11" t="s">
        <v>15</v>
      </c>
      <c r="H80" s="2" t="s">
        <v>0</v>
      </c>
      <c r="I80" s="37"/>
    </row>
    <row r="81" spans="3:9" x14ac:dyDescent="0.3">
      <c r="C81" s="67"/>
      <c r="D81" s="67"/>
      <c r="E81" s="73"/>
      <c r="F81" s="31">
        <v>7703</v>
      </c>
      <c r="G81" s="11" t="s">
        <v>14</v>
      </c>
      <c r="H81" s="2" t="s">
        <v>0</v>
      </c>
      <c r="I81" s="37"/>
    </row>
    <row r="82" spans="3:9" x14ac:dyDescent="0.3">
      <c r="C82" s="67"/>
      <c r="D82" s="67"/>
      <c r="E82" s="73"/>
      <c r="F82" s="31">
        <v>2702</v>
      </c>
      <c r="G82" s="11" t="s">
        <v>13</v>
      </c>
      <c r="H82" s="2" t="s">
        <v>0</v>
      </c>
      <c r="I82" s="37"/>
    </row>
    <row r="83" spans="3:9" ht="15" thickBot="1" x14ac:dyDescent="0.35">
      <c r="C83" s="67"/>
      <c r="D83" s="67"/>
      <c r="E83" s="73"/>
      <c r="F83" s="34">
        <v>2722</v>
      </c>
      <c r="G83" s="12" t="s">
        <v>12</v>
      </c>
      <c r="H83" s="1" t="s">
        <v>3</v>
      </c>
      <c r="I83" s="37"/>
    </row>
    <row r="84" spans="3:9" x14ac:dyDescent="0.3">
      <c r="C84" s="67"/>
      <c r="D84" s="67"/>
      <c r="E84" s="69" t="s">
        <v>11</v>
      </c>
      <c r="F84" s="31">
        <v>7704</v>
      </c>
      <c r="G84" s="18" t="s">
        <v>10</v>
      </c>
      <c r="H84" s="2" t="s">
        <v>5</v>
      </c>
      <c r="I84" s="37"/>
    </row>
    <row r="85" spans="3:9" x14ac:dyDescent="0.3">
      <c r="C85" s="67"/>
      <c r="D85" s="67"/>
      <c r="E85" s="70"/>
      <c r="F85" s="31">
        <v>2705</v>
      </c>
      <c r="G85" s="11" t="s">
        <v>9</v>
      </c>
      <c r="H85" s="2" t="s">
        <v>0</v>
      </c>
      <c r="I85" s="37"/>
    </row>
    <row r="86" spans="3:9" x14ac:dyDescent="0.3">
      <c r="C86" s="67"/>
      <c r="D86" s="67"/>
      <c r="E86" s="70"/>
      <c r="F86" s="31">
        <v>2728</v>
      </c>
      <c r="G86" s="11" t="s">
        <v>8</v>
      </c>
      <c r="H86" s="2" t="s">
        <v>0</v>
      </c>
      <c r="I86" s="37"/>
    </row>
    <row r="87" spans="3:9" x14ac:dyDescent="0.3">
      <c r="C87" s="67"/>
      <c r="D87" s="67"/>
      <c r="E87" s="70"/>
      <c r="F87" s="31">
        <v>2717</v>
      </c>
      <c r="G87" s="11" t="s">
        <v>7</v>
      </c>
      <c r="H87" s="2" t="s">
        <v>0</v>
      </c>
      <c r="I87" s="37"/>
    </row>
    <row r="88" spans="3:9" ht="15" thickBot="1" x14ac:dyDescent="0.35">
      <c r="C88" s="67"/>
      <c r="D88" s="67"/>
      <c r="E88" s="70"/>
      <c r="F88" s="32">
        <v>2711</v>
      </c>
      <c r="G88" s="13" t="s">
        <v>120</v>
      </c>
      <c r="H88" s="4" t="s">
        <v>0</v>
      </c>
      <c r="I88" s="37"/>
    </row>
    <row r="89" spans="3:9" x14ac:dyDescent="0.3">
      <c r="C89" s="67"/>
      <c r="D89" s="67"/>
      <c r="E89" s="70"/>
      <c r="F89" s="33">
        <v>2704</v>
      </c>
      <c r="G89" s="24" t="s">
        <v>6</v>
      </c>
      <c r="H89" s="3" t="s">
        <v>5</v>
      </c>
      <c r="I89" s="37"/>
    </row>
    <row r="90" spans="3:9" x14ac:dyDescent="0.3">
      <c r="C90" s="67"/>
      <c r="D90" s="67"/>
      <c r="E90" s="70"/>
      <c r="F90" s="31">
        <v>2724</v>
      </c>
      <c r="G90" s="11" t="s">
        <v>4</v>
      </c>
      <c r="H90" s="2" t="s">
        <v>3</v>
      </c>
      <c r="I90" s="37"/>
    </row>
    <row r="91" spans="3:9" x14ac:dyDescent="0.3">
      <c r="C91" s="67"/>
      <c r="D91" s="67"/>
      <c r="E91" s="70"/>
      <c r="F91" s="31">
        <v>2718</v>
      </c>
      <c r="G91" s="11" t="s">
        <v>2</v>
      </c>
      <c r="H91" s="2" t="s">
        <v>0</v>
      </c>
      <c r="I91" s="37"/>
    </row>
    <row r="92" spans="3:9" ht="15" thickBot="1" x14ac:dyDescent="0.35">
      <c r="C92" s="67"/>
      <c r="D92" s="67"/>
      <c r="E92" s="70"/>
      <c r="F92" s="32">
        <v>2703</v>
      </c>
      <c r="G92" s="13" t="s">
        <v>1</v>
      </c>
      <c r="H92" s="4" t="s">
        <v>0</v>
      </c>
      <c r="I92" s="37"/>
    </row>
    <row r="93" spans="3:9" ht="43.8" thickBot="1" x14ac:dyDescent="0.35">
      <c r="C93" s="67"/>
      <c r="D93" s="67"/>
      <c r="E93" s="63" t="s">
        <v>121</v>
      </c>
      <c r="F93" s="50">
        <v>14807</v>
      </c>
      <c r="G93" s="51" t="s">
        <v>123</v>
      </c>
      <c r="H93" s="3" t="s">
        <v>122</v>
      </c>
    </row>
    <row r="94" spans="3:9" ht="43.2" x14ac:dyDescent="0.3">
      <c r="C94" s="67"/>
      <c r="D94" s="67"/>
      <c r="E94" s="64"/>
      <c r="F94" s="31">
        <v>26671</v>
      </c>
      <c r="G94" s="52" t="s">
        <v>124</v>
      </c>
      <c r="H94" s="3" t="s">
        <v>5</v>
      </c>
    </row>
    <row r="95" spans="3:9" ht="27.6" x14ac:dyDescent="0.3">
      <c r="C95" s="67"/>
      <c r="D95" s="67"/>
      <c r="E95" s="64"/>
      <c r="F95" s="53">
        <v>35825</v>
      </c>
      <c r="G95" s="54" t="s">
        <v>125</v>
      </c>
      <c r="H95" s="2" t="s">
        <v>122</v>
      </c>
    </row>
    <row r="96" spans="3:9" ht="43.8" thickBot="1" x14ac:dyDescent="0.35">
      <c r="C96" s="68"/>
      <c r="D96" s="68"/>
      <c r="E96" s="65"/>
      <c r="F96" s="55" t="s">
        <v>127</v>
      </c>
      <c r="G96" s="56" t="s">
        <v>126</v>
      </c>
      <c r="H96" s="1" t="s">
        <v>122</v>
      </c>
    </row>
  </sheetData>
  <mergeCells count="37">
    <mergeCell ref="E40:E42"/>
    <mergeCell ref="D40:D42"/>
    <mergeCell ref="E8:E14"/>
    <mergeCell ref="D8:D14"/>
    <mergeCell ref="F2:F3"/>
    <mergeCell ref="O2:O3"/>
    <mergeCell ref="E73:E83"/>
    <mergeCell ref="E84:E92"/>
    <mergeCell ref="E56:E62"/>
    <mergeCell ref="D56:D62"/>
    <mergeCell ref="D63:D71"/>
    <mergeCell ref="E63:E64"/>
    <mergeCell ref="E65:E71"/>
    <mergeCell ref="E29:E35"/>
    <mergeCell ref="D29:D35"/>
    <mergeCell ref="E43:E44"/>
    <mergeCell ref="E45:E54"/>
    <mergeCell ref="D2:D3"/>
    <mergeCell ref="E2:E3"/>
    <mergeCell ref="E4:E7"/>
    <mergeCell ref="D4:D7"/>
    <mergeCell ref="K2:N2"/>
    <mergeCell ref="E93:E96"/>
    <mergeCell ref="D72:D96"/>
    <mergeCell ref="C43:C96"/>
    <mergeCell ref="D43:D55"/>
    <mergeCell ref="C29:C42"/>
    <mergeCell ref="C4:C28"/>
    <mergeCell ref="C2:C3"/>
    <mergeCell ref="E15:E19"/>
    <mergeCell ref="D15:D19"/>
    <mergeCell ref="E21:E28"/>
    <mergeCell ref="D20:D28"/>
    <mergeCell ref="D36:D39"/>
    <mergeCell ref="E36:E39"/>
    <mergeCell ref="G2:G3"/>
    <mergeCell ref="H2:H3"/>
  </mergeCells>
  <conditionalFormatting sqref="H2:H96">
    <cfRule type="endsWith" dxfId="5" priority="4" operator="endsWith" text="3">
      <formula>RIGHT(H2,LEN("3"))="3"</formula>
    </cfRule>
    <cfRule type="endsWith" dxfId="4" priority="5" operator="endsWith" text="2">
      <formula>RIGHT(H2,LEN("2"))="2"</formula>
    </cfRule>
    <cfRule type="endsWith" dxfId="3" priority="6" operator="endsWith" text="1">
      <formula>RIGHT(H2,LEN("1"))="1"</formula>
    </cfRule>
  </conditionalFormatting>
  <conditionalFormatting sqref="N3">
    <cfRule type="endsWith" dxfId="2" priority="1" operator="endsWith" text="3">
      <formula>RIGHT(N3,LEN("3"))="3"</formula>
    </cfRule>
    <cfRule type="endsWith" dxfId="1" priority="2" operator="endsWith" text="2">
      <formula>RIGHT(N3,LEN("2"))="2"</formula>
    </cfRule>
    <cfRule type="endsWith" dxfId="0" priority="3" operator="endsWith" text="1">
      <formula>RIGHT(N3,LEN("1"))="1"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F9A0-A9BC-4BDA-92B8-5E858B63D912}">
  <dimension ref="B6:E69"/>
  <sheetViews>
    <sheetView workbookViewId="0">
      <selection activeCell="E40" sqref="E40"/>
    </sheetView>
  </sheetViews>
  <sheetFormatPr baseColWidth="10" defaultRowHeight="14.4" x14ac:dyDescent="0.3"/>
  <cols>
    <col min="3" max="3" width="49.109375" customWidth="1"/>
    <col min="5" max="5" width="72.44140625" customWidth="1"/>
    <col min="9" max="9" width="53" customWidth="1"/>
  </cols>
  <sheetData>
    <row r="6" spans="2:5" ht="15" thickBot="1" x14ac:dyDescent="0.35">
      <c r="B6" t="s">
        <v>129</v>
      </c>
      <c r="C6" t="s">
        <v>130</v>
      </c>
    </row>
    <row r="7" spans="2:5" ht="30" customHeight="1" thickBot="1" x14ac:dyDescent="0.35">
      <c r="B7" s="83" t="s">
        <v>153</v>
      </c>
      <c r="C7" s="57" t="s">
        <v>131</v>
      </c>
      <c r="E7" s="58" t="s">
        <v>154</v>
      </c>
    </row>
    <row r="8" spans="2:5" ht="30" customHeight="1" thickBot="1" x14ac:dyDescent="0.35">
      <c r="B8" s="83"/>
      <c r="C8" s="57" t="s">
        <v>132</v>
      </c>
      <c r="E8" s="59" t="s">
        <v>155</v>
      </c>
    </row>
    <row r="9" spans="2:5" ht="30" customHeight="1" thickBot="1" x14ac:dyDescent="0.35">
      <c r="B9" s="83"/>
      <c r="C9" s="57" t="s">
        <v>133</v>
      </c>
      <c r="E9" s="59" t="s">
        <v>156</v>
      </c>
    </row>
    <row r="10" spans="2:5" ht="30" customHeight="1" thickBot="1" x14ac:dyDescent="0.35">
      <c r="B10" s="83"/>
      <c r="C10" s="57" t="s">
        <v>134</v>
      </c>
      <c r="E10" s="59" t="s">
        <v>157</v>
      </c>
    </row>
    <row r="11" spans="2:5" ht="30" customHeight="1" thickBot="1" x14ac:dyDescent="0.35">
      <c r="B11" s="83"/>
      <c r="C11" s="57" t="s">
        <v>135</v>
      </c>
      <c r="E11" s="59" t="s">
        <v>158</v>
      </c>
    </row>
    <row r="12" spans="2:5" ht="30" customHeight="1" thickBot="1" x14ac:dyDescent="0.35">
      <c r="B12" s="83"/>
      <c r="C12" s="57" t="s">
        <v>136</v>
      </c>
      <c r="E12" s="59" t="s">
        <v>159</v>
      </c>
    </row>
    <row r="13" spans="2:5" ht="30" customHeight="1" thickBot="1" x14ac:dyDescent="0.35">
      <c r="B13" s="83"/>
      <c r="C13" s="57" t="s">
        <v>137</v>
      </c>
      <c r="E13" s="59" t="s">
        <v>160</v>
      </c>
    </row>
    <row r="14" spans="2:5" ht="30" customHeight="1" thickBot="1" x14ac:dyDescent="0.35">
      <c r="B14" s="83"/>
      <c r="C14" s="57" t="s">
        <v>138</v>
      </c>
      <c r="E14" s="59" t="s">
        <v>161</v>
      </c>
    </row>
    <row r="15" spans="2:5" ht="30" customHeight="1" thickBot="1" x14ac:dyDescent="0.35">
      <c r="B15" s="83"/>
      <c r="C15" s="57" t="s">
        <v>139</v>
      </c>
      <c r="E15" s="59" t="s">
        <v>162</v>
      </c>
    </row>
    <row r="16" spans="2:5" ht="30" customHeight="1" thickBot="1" x14ac:dyDescent="0.35">
      <c r="B16" s="83"/>
      <c r="C16" s="57" t="s">
        <v>140</v>
      </c>
      <c r="E16" s="59" t="s">
        <v>163</v>
      </c>
    </row>
    <row r="17" spans="2:5" ht="30" customHeight="1" thickBot="1" x14ac:dyDescent="0.35">
      <c r="B17" s="83"/>
      <c r="C17" s="57" t="s">
        <v>141</v>
      </c>
      <c r="E17" s="59" t="s">
        <v>164</v>
      </c>
    </row>
    <row r="18" spans="2:5" ht="30" customHeight="1" thickBot="1" x14ac:dyDescent="0.35">
      <c r="B18" s="83"/>
      <c r="C18" s="57" t="s">
        <v>142</v>
      </c>
      <c r="E18" s="59" t="s">
        <v>165</v>
      </c>
    </row>
    <row r="19" spans="2:5" ht="30" customHeight="1" thickBot="1" x14ac:dyDescent="0.35">
      <c r="B19" s="83"/>
      <c r="C19" s="57" t="s">
        <v>143</v>
      </c>
      <c r="E19" s="59" t="s">
        <v>166</v>
      </c>
    </row>
    <row r="20" spans="2:5" ht="30" customHeight="1" thickBot="1" x14ac:dyDescent="0.35">
      <c r="B20" s="83"/>
      <c r="C20" s="57" t="s">
        <v>144</v>
      </c>
      <c r="E20" s="59" t="s">
        <v>167</v>
      </c>
    </row>
    <row r="21" spans="2:5" ht="30" customHeight="1" thickBot="1" x14ac:dyDescent="0.35">
      <c r="B21" s="83"/>
      <c r="C21" s="57" t="s">
        <v>145</v>
      </c>
      <c r="E21" s="59" t="s">
        <v>168</v>
      </c>
    </row>
    <row r="22" spans="2:5" ht="30" customHeight="1" thickBot="1" x14ac:dyDescent="0.35">
      <c r="B22" s="83"/>
      <c r="C22" s="57" t="s">
        <v>146</v>
      </c>
      <c r="E22" s="59" t="s">
        <v>169</v>
      </c>
    </row>
    <row r="23" spans="2:5" ht="30" customHeight="1" thickBot="1" x14ac:dyDescent="0.35">
      <c r="B23" s="83"/>
      <c r="C23" s="57" t="s">
        <v>147</v>
      </c>
      <c r="E23" s="59" t="s">
        <v>170</v>
      </c>
    </row>
    <row r="24" spans="2:5" ht="30" customHeight="1" thickBot="1" x14ac:dyDescent="0.35">
      <c r="B24" s="83"/>
      <c r="C24" s="57" t="s">
        <v>148</v>
      </c>
      <c r="E24" s="59" t="s">
        <v>171</v>
      </c>
    </row>
    <row r="25" spans="2:5" ht="30" customHeight="1" thickBot="1" x14ac:dyDescent="0.35">
      <c r="B25" s="83"/>
      <c r="C25" s="57" t="s">
        <v>149</v>
      </c>
      <c r="E25" s="59" t="s">
        <v>172</v>
      </c>
    </row>
    <row r="26" spans="2:5" ht="30" customHeight="1" thickBot="1" x14ac:dyDescent="0.35">
      <c r="B26" s="83"/>
      <c r="C26" s="57" t="s">
        <v>150</v>
      </c>
      <c r="E26" s="59" t="s">
        <v>173</v>
      </c>
    </row>
    <row r="27" spans="2:5" ht="30" customHeight="1" thickBot="1" x14ac:dyDescent="0.35">
      <c r="B27" s="83"/>
      <c r="C27" s="57" t="s">
        <v>151</v>
      </c>
      <c r="E27" s="59" t="s">
        <v>174</v>
      </c>
    </row>
    <row r="28" spans="2:5" ht="30" customHeight="1" thickBot="1" x14ac:dyDescent="0.35">
      <c r="B28" s="83"/>
      <c r="C28" s="57" t="s">
        <v>152</v>
      </c>
      <c r="E28" s="59" t="s">
        <v>175</v>
      </c>
    </row>
    <row r="29" spans="2:5" ht="30" customHeight="1" thickBot="1" x14ac:dyDescent="0.35">
      <c r="E29" s="59" t="s">
        <v>176</v>
      </c>
    </row>
    <row r="30" spans="2:5" ht="30" customHeight="1" thickBot="1" x14ac:dyDescent="0.35">
      <c r="E30" s="59" t="s">
        <v>177</v>
      </c>
    </row>
    <row r="31" spans="2:5" ht="30" customHeight="1" thickBot="1" x14ac:dyDescent="0.35">
      <c r="E31" s="59" t="s">
        <v>178</v>
      </c>
    </row>
    <row r="32" spans="2:5" ht="30" customHeight="1" thickBot="1" x14ac:dyDescent="0.35">
      <c r="E32" s="59" t="s">
        <v>179</v>
      </c>
    </row>
    <row r="33" spans="5:5" ht="30" customHeight="1" thickBot="1" x14ac:dyDescent="0.35">
      <c r="E33" s="59" t="s">
        <v>180</v>
      </c>
    </row>
    <row r="34" spans="5:5" ht="30" customHeight="1" thickBot="1" x14ac:dyDescent="0.35">
      <c r="E34" s="59" t="s">
        <v>181</v>
      </c>
    </row>
    <row r="35" spans="5:5" ht="30" customHeight="1" thickBot="1" x14ac:dyDescent="0.35">
      <c r="E35" s="59" t="s">
        <v>182</v>
      </c>
    </row>
    <row r="36" spans="5:5" ht="30" customHeight="1" thickBot="1" x14ac:dyDescent="0.35">
      <c r="E36" s="59" t="s">
        <v>183</v>
      </c>
    </row>
    <row r="37" spans="5:5" ht="30" customHeight="1" thickBot="1" x14ac:dyDescent="0.35">
      <c r="E37" s="59" t="s">
        <v>184</v>
      </c>
    </row>
    <row r="38" spans="5:5" ht="30" customHeight="1" thickBot="1" x14ac:dyDescent="0.35">
      <c r="E38" s="59" t="s">
        <v>185</v>
      </c>
    </row>
    <row r="39" spans="5:5" ht="30" customHeight="1" thickBot="1" x14ac:dyDescent="0.35">
      <c r="E39" s="59" t="s">
        <v>186</v>
      </c>
    </row>
    <row r="40" spans="5:5" ht="30" customHeight="1" thickBot="1" x14ac:dyDescent="0.35">
      <c r="E40" s="59" t="s">
        <v>187</v>
      </c>
    </row>
    <row r="41" spans="5:5" ht="30" customHeight="1" thickBot="1" x14ac:dyDescent="0.35">
      <c r="E41" s="59" t="s">
        <v>188</v>
      </c>
    </row>
    <row r="42" spans="5:5" ht="30" customHeight="1" thickBot="1" x14ac:dyDescent="0.35">
      <c r="E42" s="59" t="s">
        <v>189</v>
      </c>
    </row>
    <row r="43" spans="5:5" ht="30" customHeight="1" thickBot="1" x14ac:dyDescent="0.35">
      <c r="E43" s="59" t="s">
        <v>190</v>
      </c>
    </row>
    <row r="44" spans="5:5" ht="30" customHeight="1" thickBot="1" x14ac:dyDescent="0.35">
      <c r="E44" s="59" t="s">
        <v>191</v>
      </c>
    </row>
    <row r="45" spans="5:5" ht="30" customHeight="1" thickBot="1" x14ac:dyDescent="0.35">
      <c r="E45" s="59" t="s">
        <v>192</v>
      </c>
    </row>
    <row r="46" spans="5:5" ht="30" customHeight="1" thickBot="1" x14ac:dyDescent="0.35">
      <c r="E46" s="59" t="s">
        <v>193</v>
      </c>
    </row>
    <row r="47" spans="5:5" ht="30" customHeight="1" thickBot="1" x14ac:dyDescent="0.35">
      <c r="E47" s="59" t="s">
        <v>194</v>
      </c>
    </row>
    <row r="48" spans="5:5" ht="30" customHeight="1" thickBot="1" x14ac:dyDescent="0.35">
      <c r="E48" s="59" t="s">
        <v>195</v>
      </c>
    </row>
    <row r="49" spans="5:5" ht="30" customHeight="1" thickBot="1" x14ac:dyDescent="0.35">
      <c r="E49" s="59" t="s">
        <v>196</v>
      </c>
    </row>
    <row r="50" spans="5:5" ht="30" customHeight="1" thickBot="1" x14ac:dyDescent="0.35">
      <c r="E50" s="59" t="s">
        <v>197</v>
      </c>
    </row>
    <row r="51" spans="5:5" ht="30" customHeight="1" thickBot="1" x14ac:dyDescent="0.35">
      <c r="E51" s="59" t="s">
        <v>198</v>
      </c>
    </row>
    <row r="52" spans="5:5" ht="30" customHeight="1" thickBot="1" x14ac:dyDescent="0.35">
      <c r="E52" s="59" t="s">
        <v>199</v>
      </c>
    </row>
    <row r="53" spans="5:5" ht="30" customHeight="1" thickBot="1" x14ac:dyDescent="0.35">
      <c r="E53" s="59" t="s">
        <v>200</v>
      </c>
    </row>
    <row r="54" spans="5:5" ht="30" customHeight="1" thickBot="1" x14ac:dyDescent="0.35">
      <c r="E54" s="59" t="s">
        <v>201</v>
      </c>
    </row>
    <row r="55" spans="5:5" ht="30" customHeight="1" thickBot="1" x14ac:dyDescent="0.35">
      <c r="E55" s="59" t="s">
        <v>202</v>
      </c>
    </row>
    <row r="56" spans="5:5" ht="30" customHeight="1" thickBot="1" x14ac:dyDescent="0.35">
      <c r="E56" s="59" t="s">
        <v>203</v>
      </c>
    </row>
    <row r="57" spans="5:5" ht="30" customHeight="1" thickBot="1" x14ac:dyDescent="0.35">
      <c r="E57" s="59" t="s">
        <v>204</v>
      </c>
    </row>
    <row r="58" spans="5:5" ht="30" customHeight="1" thickBot="1" x14ac:dyDescent="0.35">
      <c r="E58" s="59" t="s">
        <v>205</v>
      </c>
    </row>
    <row r="59" spans="5:5" ht="30" customHeight="1" thickBot="1" x14ac:dyDescent="0.35">
      <c r="E59" s="59" t="s">
        <v>206</v>
      </c>
    </row>
    <row r="60" spans="5:5" ht="30" customHeight="1" thickBot="1" x14ac:dyDescent="0.35">
      <c r="E60" s="59" t="s">
        <v>207</v>
      </c>
    </row>
    <row r="61" spans="5:5" ht="30" customHeight="1" thickBot="1" x14ac:dyDescent="0.35">
      <c r="E61" s="59" t="s">
        <v>208</v>
      </c>
    </row>
    <row r="62" spans="5:5" ht="30" customHeight="1" thickBot="1" x14ac:dyDescent="0.35">
      <c r="E62" s="59" t="s">
        <v>209</v>
      </c>
    </row>
    <row r="63" spans="5:5" ht="30" customHeight="1" thickBot="1" x14ac:dyDescent="0.35">
      <c r="E63" s="59" t="s">
        <v>210</v>
      </c>
    </row>
    <row r="64" spans="5:5" ht="30" customHeight="1" thickBot="1" x14ac:dyDescent="0.35">
      <c r="E64" s="59" t="s">
        <v>211</v>
      </c>
    </row>
    <row r="65" spans="5:5" ht="30" customHeight="1" thickBot="1" x14ac:dyDescent="0.35">
      <c r="E65" s="59" t="s">
        <v>212</v>
      </c>
    </row>
    <row r="66" spans="5:5" ht="30" customHeight="1" thickBot="1" x14ac:dyDescent="0.35">
      <c r="E66" s="59" t="s">
        <v>213</v>
      </c>
    </row>
    <row r="67" spans="5:5" ht="30" customHeight="1" thickBot="1" x14ac:dyDescent="0.35">
      <c r="E67" s="59" t="s">
        <v>214</v>
      </c>
    </row>
    <row r="68" spans="5:5" ht="30" customHeight="1" thickBot="1" x14ac:dyDescent="0.35">
      <c r="E68" s="59" t="s">
        <v>215</v>
      </c>
    </row>
    <row r="69" spans="5:5" ht="30" customHeight="1" thickBot="1" x14ac:dyDescent="0.35">
      <c r="E69" s="59" t="s">
        <v>216</v>
      </c>
    </row>
  </sheetData>
  <mergeCells count="1">
    <mergeCell ref="B7:B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D0BD-9814-43A4-9FB0-CB0D9686147F}">
  <dimension ref="F2:H80"/>
  <sheetViews>
    <sheetView tabSelected="1" topLeftCell="C81" workbookViewId="0">
      <selection activeCell="I21" sqref="I21"/>
    </sheetView>
  </sheetViews>
  <sheetFormatPr baseColWidth="10" defaultRowHeight="14.4" x14ac:dyDescent="0.3"/>
  <cols>
    <col min="4" max="4" width="24.21875" customWidth="1"/>
    <col min="5" max="5" width="20.77734375" customWidth="1"/>
    <col min="6" max="6" width="22.5546875" customWidth="1"/>
    <col min="7" max="7" width="36" customWidth="1"/>
    <col min="8" max="8" width="35.88671875" customWidth="1"/>
  </cols>
  <sheetData>
    <row r="2" spans="6:8" ht="27" customHeight="1" x14ac:dyDescent="0.3">
      <c r="F2" s="96" t="s">
        <v>217</v>
      </c>
      <c r="G2" s="96" t="s">
        <v>218</v>
      </c>
      <c r="H2" s="96" t="s">
        <v>254</v>
      </c>
    </row>
    <row r="3" spans="6:8" x14ac:dyDescent="0.3">
      <c r="F3" s="53" t="s">
        <v>219</v>
      </c>
      <c r="G3" s="53" t="s">
        <v>220</v>
      </c>
      <c r="H3" s="53" t="s">
        <v>220</v>
      </c>
    </row>
    <row r="4" spans="6:8" x14ac:dyDescent="0.3">
      <c r="F4" s="80" t="s">
        <v>221</v>
      </c>
      <c r="G4" s="53" t="s">
        <v>222</v>
      </c>
      <c r="H4" s="53" t="s">
        <v>220</v>
      </c>
    </row>
    <row r="5" spans="6:8" x14ac:dyDescent="0.3">
      <c r="F5" s="80"/>
      <c r="G5" s="53" t="s">
        <v>224</v>
      </c>
      <c r="H5" s="87" t="s">
        <v>255</v>
      </c>
    </row>
    <row r="6" spans="6:8" x14ac:dyDescent="0.3">
      <c r="F6" s="80"/>
      <c r="G6" s="53" t="s">
        <v>223</v>
      </c>
      <c r="H6" s="88" t="s">
        <v>223</v>
      </c>
    </row>
    <row r="7" spans="6:8" x14ac:dyDescent="0.3">
      <c r="F7" s="89" t="s">
        <v>225</v>
      </c>
      <c r="G7" s="90" t="s">
        <v>223</v>
      </c>
      <c r="H7" s="91" t="s">
        <v>256</v>
      </c>
    </row>
    <row r="8" spans="6:8" x14ac:dyDescent="0.3">
      <c r="F8" s="89"/>
      <c r="G8" s="92" t="s">
        <v>248</v>
      </c>
      <c r="H8" s="91"/>
    </row>
    <row r="9" spans="6:8" x14ac:dyDescent="0.3">
      <c r="F9" s="89"/>
      <c r="G9" s="92" t="s">
        <v>242</v>
      </c>
      <c r="H9" s="91"/>
    </row>
    <row r="10" spans="6:8" x14ac:dyDescent="0.3">
      <c r="F10" s="89"/>
      <c r="G10" s="93" t="s">
        <v>228</v>
      </c>
      <c r="H10" s="91"/>
    </row>
    <row r="11" spans="6:8" x14ac:dyDescent="0.3">
      <c r="F11" s="89"/>
      <c r="G11" s="93" t="s">
        <v>229</v>
      </c>
      <c r="H11" s="91"/>
    </row>
    <row r="12" spans="6:8" x14ac:dyDescent="0.3">
      <c r="F12" s="89"/>
      <c r="G12" s="93" t="s">
        <v>240</v>
      </c>
      <c r="H12" s="91"/>
    </row>
    <row r="13" spans="6:8" x14ac:dyDescent="0.3">
      <c r="F13" s="89"/>
      <c r="G13" s="93" t="s">
        <v>247</v>
      </c>
      <c r="H13" s="91"/>
    </row>
    <row r="14" spans="6:8" x14ac:dyDescent="0.3">
      <c r="F14" s="89"/>
      <c r="G14" s="93" t="s">
        <v>227</v>
      </c>
      <c r="H14" s="91"/>
    </row>
    <row r="15" spans="6:8" x14ac:dyDescent="0.3">
      <c r="F15" s="89"/>
      <c r="G15" s="93" t="s">
        <v>253</v>
      </c>
      <c r="H15" s="91"/>
    </row>
    <row r="16" spans="6:8" x14ac:dyDescent="0.3">
      <c r="F16" s="89"/>
      <c r="G16" s="93" t="s">
        <v>233</v>
      </c>
      <c r="H16" s="91"/>
    </row>
    <row r="17" spans="6:8" x14ac:dyDescent="0.3">
      <c r="F17" s="89"/>
      <c r="G17" s="93" t="s">
        <v>238</v>
      </c>
      <c r="H17" s="91"/>
    </row>
    <row r="18" spans="6:8" x14ac:dyDescent="0.3">
      <c r="F18" s="89"/>
      <c r="G18" s="93" t="s">
        <v>243</v>
      </c>
      <c r="H18" s="91"/>
    </row>
    <row r="19" spans="6:8" x14ac:dyDescent="0.3">
      <c r="F19" s="89"/>
      <c r="G19" s="93" t="s">
        <v>251</v>
      </c>
      <c r="H19" s="91"/>
    </row>
    <row r="20" spans="6:8" x14ac:dyDescent="0.3">
      <c r="F20" s="89"/>
      <c r="G20" s="92" t="s">
        <v>252</v>
      </c>
      <c r="H20" s="91"/>
    </row>
    <row r="21" spans="6:8" x14ac:dyDescent="0.3">
      <c r="F21" s="89"/>
      <c r="G21" s="92" t="s">
        <v>244</v>
      </c>
      <c r="H21" s="91"/>
    </row>
    <row r="22" spans="6:8" ht="27.6" x14ac:dyDescent="0.3">
      <c r="F22" s="89"/>
      <c r="G22" s="93" t="s">
        <v>236</v>
      </c>
      <c r="H22" s="91"/>
    </row>
    <row r="23" spans="6:8" x14ac:dyDescent="0.3">
      <c r="F23" s="89"/>
      <c r="G23" s="93" t="s">
        <v>231</v>
      </c>
      <c r="H23" s="91"/>
    </row>
    <row r="24" spans="6:8" x14ac:dyDescent="0.3">
      <c r="F24" s="89"/>
      <c r="G24" s="93" t="s">
        <v>186</v>
      </c>
      <c r="H24" s="91"/>
    </row>
    <row r="25" spans="6:8" x14ac:dyDescent="0.3">
      <c r="F25" s="89"/>
      <c r="G25" s="93" t="s">
        <v>187</v>
      </c>
      <c r="H25" s="91"/>
    </row>
    <row r="26" spans="6:8" ht="27.6" x14ac:dyDescent="0.3">
      <c r="F26" s="89"/>
      <c r="G26" s="93" t="s">
        <v>241</v>
      </c>
      <c r="H26" s="91"/>
    </row>
    <row r="27" spans="6:8" x14ac:dyDescent="0.3">
      <c r="F27" s="89"/>
      <c r="G27" s="93" t="s">
        <v>250</v>
      </c>
      <c r="H27" s="91"/>
    </row>
    <row r="28" spans="6:8" x14ac:dyDescent="0.3">
      <c r="F28" s="89"/>
      <c r="G28" s="93" t="s">
        <v>237</v>
      </c>
      <c r="H28" s="91"/>
    </row>
    <row r="29" spans="6:8" x14ac:dyDescent="0.3">
      <c r="F29" s="89"/>
      <c r="G29" s="93" t="s">
        <v>230</v>
      </c>
      <c r="H29" s="91"/>
    </row>
    <row r="30" spans="6:8" x14ac:dyDescent="0.3">
      <c r="F30" s="89"/>
      <c r="G30" s="93" t="s">
        <v>192</v>
      </c>
      <c r="H30" s="91"/>
    </row>
    <row r="31" spans="6:8" x14ac:dyDescent="0.3">
      <c r="F31" s="89"/>
      <c r="G31" s="93" t="s">
        <v>245</v>
      </c>
      <c r="H31" s="91"/>
    </row>
    <row r="32" spans="6:8" x14ac:dyDescent="0.3">
      <c r="F32" s="89"/>
      <c r="G32" s="93" t="s">
        <v>239</v>
      </c>
      <c r="H32" s="91"/>
    </row>
    <row r="33" spans="6:8" x14ac:dyDescent="0.3">
      <c r="F33" s="89"/>
      <c r="G33" s="93" t="s">
        <v>249</v>
      </c>
      <c r="H33" s="91"/>
    </row>
    <row r="34" spans="6:8" x14ac:dyDescent="0.3">
      <c r="F34" s="89"/>
      <c r="G34" s="92" t="s">
        <v>246</v>
      </c>
      <c r="H34" s="91"/>
    </row>
    <row r="35" spans="6:8" x14ac:dyDescent="0.3">
      <c r="F35" s="89"/>
      <c r="G35" s="93" t="s">
        <v>232</v>
      </c>
      <c r="H35" s="91"/>
    </row>
    <row r="36" spans="6:8" ht="27.6" x14ac:dyDescent="0.3">
      <c r="F36" s="89"/>
      <c r="G36" s="93" t="s">
        <v>214</v>
      </c>
      <c r="H36" s="91"/>
    </row>
    <row r="37" spans="6:8" x14ac:dyDescent="0.3">
      <c r="F37" s="89"/>
      <c r="G37" s="93" t="s">
        <v>235</v>
      </c>
      <c r="H37" s="91"/>
    </row>
    <row r="38" spans="6:8" x14ac:dyDescent="0.3">
      <c r="F38" s="89"/>
      <c r="G38" s="93" t="s">
        <v>234</v>
      </c>
      <c r="H38" s="91"/>
    </row>
    <row r="39" spans="6:8" x14ac:dyDescent="0.3">
      <c r="F39" s="89" t="s">
        <v>257</v>
      </c>
      <c r="G39" s="90" t="s">
        <v>223</v>
      </c>
      <c r="H39" s="72" t="s">
        <v>262</v>
      </c>
    </row>
    <row r="40" spans="6:8" x14ac:dyDescent="0.3">
      <c r="F40" s="89"/>
      <c r="G40" s="94" t="s">
        <v>231</v>
      </c>
      <c r="H40" s="72"/>
    </row>
    <row r="41" spans="6:8" x14ac:dyDescent="0.3">
      <c r="F41" s="89"/>
      <c r="G41" s="94" t="s">
        <v>186</v>
      </c>
      <c r="H41" s="72"/>
    </row>
    <row r="42" spans="6:8" x14ac:dyDescent="0.3">
      <c r="F42" s="89"/>
      <c r="G42" s="94" t="s">
        <v>258</v>
      </c>
      <c r="H42" s="72"/>
    </row>
    <row r="43" spans="6:8" x14ac:dyDescent="0.3">
      <c r="F43" s="89"/>
      <c r="G43" s="94" t="s">
        <v>259</v>
      </c>
      <c r="H43" s="72"/>
    </row>
    <row r="44" spans="6:8" x14ac:dyDescent="0.3">
      <c r="F44" s="89"/>
      <c r="G44" s="94" t="s">
        <v>242</v>
      </c>
      <c r="H44" s="72"/>
    </row>
    <row r="45" spans="6:8" x14ac:dyDescent="0.3">
      <c r="F45" s="89"/>
      <c r="G45" s="94" t="s">
        <v>237</v>
      </c>
      <c r="H45" s="72"/>
    </row>
    <row r="46" spans="6:8" x14ac:dyDescent="0.3">
      <c r="F46" s="89"/>
      <c r="G46" s="94" t="s">
        <v>249</v>
      </c>
      <c r="H46" s="72"/>
    </row>
    <row r="47" spans="6:8" x14ac:dyDescent="0.3">
      <c r="F47" s="89"/>
      <c r="G47" s="95" t="s">
        <v>247</v>
      </c>
      <c r="H47" s="72"/>
    </row>
    <row r="48" spans="6:8" x14ac:dyDescent="0.3">
      <c r="F48" s="89"/>
      <c r="G48" s="94" t="s">
        <v>260</v>
      </c>
      <c r="H48" s="72"/>
    </row>
    <row r="49" spans="6:8" x14ac:dyDescent="0.3">
      <c r="F49" s="89"/>
      <c r="G49" s="94" t="s">
        <v>261</v>
      </c>
      <c r="H49" s="72"/>
    </row>
    <row r="50" spans="6:8" x14ac:dyDescent="0.3">
      <c r="F50" s="89" t="s">
        <v>263</v>
      </c>
      <c r="G50" s="90" t="s">
        <v>223</v>
      </c>
      <c r="H50" s="72" t="s">
        <v>276</v>
      </c>
    </row>
    <row r="51" spans="6:8" x14ac:dyDescent="0.3">
      <c r="F51" s="89"/>
      <c r="G51" s="94" t="s">
        <v>232</v>
      </c>
      <c r="H51" s="72"/>
    </row>
    <row r="52" spans="6:8" x14ac:dyDescent="0.3">
      <c r="F52" s="89"/>
      <c r="G52" s="94" t="s">
        <v>264</v>
      </c>
      <c r="H52" s="72"/>
    </row>
    <row r="53" spans="6:8" x14ac:dyDescent="0.3">
      <c r="F53" s="89"/>
      <c r="G53" s="94" t="s">
        <v>246</v>
      </c>
      <c r="H53" s="72"/>
    </row>
    <row r="54" spans="6:8" ht="27.6" x14ac:dyDescent="0.3">
      <c r="F54" s="89"/>
      <c r="G54" s="94" t="s">
        <v>265</v>
      </c>
      <c r="H54" s="72"/>
    </row>
    <row r="55" spans="6:8" x14ac:dyDescent="0.3">
      <c r="F55" s="89"/>
      <c r="G55" s="94" t="s">
        <v>266</v>
      </c>
      <c r="H55" s="72"/>
    </row>
    <row r="56" spans="6:8" x14ac:dyDescent="0.3">
      <c r="F56" s="89"/>
      <c r="G56" s="94" t="s">
        <v>227</v>
      </c>
      <c r="H56" s="72"/>
    </row>
    <row r="57" spans="6:8" x14ac:dyDescent="0.3">
      <c r="F57" s="89"/>
      <c r="G57" s="94" t="s">
        <v>267</v>
      </c>
      <c r="H57" s="72"/>
    </row>
    <row r="58" spans="6:8" x14ac:dyDescent="0.3">
      <c r="F58" s="89"/>
      <c r="G58" s="94" t="s">
        <v>268</v>
      </c>
      <c r="H58" s="72"/>
    </row>
    <row r="59" spans="6:8" x14ac:dyDescent="0.3">
      <c r="F59" s="89"/>
      <c r="G59" s="94" t="s">
        <v>269</v>
      </c>
      <c r="H59" s="72"/>
    </row>
    <row r="60" spans="6:8" x14ac:dyDescent="0.3">
      <c r="F60" s="89"/>
      <c r="G60" s="94" t="s">
        <v>224</v>
      </c>
      <c r="H60" s="72"/>
    </row>
    <row r="61" spans="6:8" x14ac:dyDescent="0.3">
      <c r="F61" s="89"/>
      <c r="G61" s="94" t="s">
        <v>270</v>
      </c>
      <c r="H61" s="72"/>
    </row>
    <row r="62" spans="6:8" x14ac:dyDescent="0.3">
      <c r="F62" s="89"/>
      <c r="G62" s="94" t="s">
        <v>271</v>
      </c>
      <c r="H62" s="72"/>
    </row>
    <row r="63" spans="6:8" x14ac:dyDescent="0.3">
      <c r="F63" s="89"/>
      <c r="G63" s="94" t="s">
        <v>272</v>
      </c>
      <c r="H63" s="72"/>
    </row>
    <row r="64" spans="6:8" ht="27.6" x14ac:dyDescent="0.3">
      <c r="F64" s="89"/>
      <c r="G64" s="94" t="s">
        <v>273</v>
      </c>
      <c r="H64" s="72"/>
    </row>
    <row r="65" spans="6:8" x14ac:dyDescent="0.3">
      <c r="F65" s="89"/>
      <c r="G65" s="95" t="s">
        <v>239</v>
      </c>
      <c r="H65" s="72"/>
    </row>
    <row r="66" spans="6:8" ht="27.6" x14ac:dyDescent="0.3">
      <c r="F66" s="89"/>
      <c r="G66" s="95" t="s">
        <v>274</v>
      </c>
      <c r="H66" s="72"/>
    </row>
    <row r="67" spans="6:8" x14ac:dyDescent="0.3">
      <c r="F67" s="89"/>
      <c r="G67" s="95" t="s">
        <v>261</v>
      </c>
      <c r="H67" s="72"/>
    </row>
    <row r="68" spans="6:8" ht="27.6" x14ac:dyDescent="0.3">
      <c r="F68" s="89"/>
      <c r="G68" s="94" t="s">
        <v>275</v>
      </c>
      <c r="H68" s="72"/>
    </row>
    <row r="69" spans="6:8" ht="27.6" customHeight="1" x14ac:dyDescent="0.3">
      <c r="F69" s="89" t="s">
        <v>277</v>
      </c>
      <c r="G69" s="90" t="s">
        <v>223</v>
      </c>
      <c r="H69" s="72" t="s">
        <v>283</v>
      </c>
    </row>
    <row r="70" spans="6:8" x14ac:dyDescent="0.3">
      <c r="F70" s="89"/>
      <c r="G70" s="94" t="s">
        <v>232</v>
      </c>
      <c r="H70" s="72"/>
    </row>
    <row r="71" spans="6:8" x14ac:dyDescent="0.3">
      <c r="F71" s="89"/>
      <c r="G71" s="94" t="s">
        <v>278</v>
      </c>
      <c r="H71" s="72"/>
    </row>
    <row r="72" spans="6:8" x14ac:dyDescent="0.3">
      <c r="F72" s="89"/>
      <c r="G72" s="94" t="s">
        <v>279</v>
      </c>
      <c r="H72" s="72"/>
    </row>
    <row r="73" spans="6:8" x14ac:dyDescent="0.3">
      <c r="F73" s="89"/>
      <c r="G73" s="94" t="s">
        <v>246</v>
      </c>
      <c r="H73" s="72"/>
    </row>
    <row r="74" spans="6:8" x14ac:dyDescent="0.3">
      <c r="F74" s="89"/>
      <c r="G74" s="94" t="s">
        <v>280</v>
      </c>
      <c r="H74" s="72"/>
    </row>
    <row r="75" spans="6:8" x14ac:dyDescent="0.3">
      <c r="F75" s="89"/>
      <c r="G75" s="94" t="s">
        <v>239</v>
      </c>
      <c r="H75" s="72"/>
    </row>
    <row r="76" spans="6:8" x14ac:dyDescent="0.3">
      <c r="F76" s="89"/>
      <c r="G76" s="94" t="s">
        <v>281</v>
      </c>
      <c r="H76" s="72"/>
    </row>
    <row r="77" spans="6:8" ht="27.6" x14ac:dyDescent="0.3">
      <c r="F77" s="89"/>
      <c r="G77" s="95" t="s">
        <v>265</v>
      </c>
      <c r="H77" s="72"/>
    </row>
    <row r="78" spans="6:8" x14ac:dyDescent="0.3">
      <c r="F78" s="89"/>
      <c r="G78" s="94" t="s">
        <v>264</v>
      </c>
      <c r="H78" s="72"/>
    </row>
    <row r="79" spans="6:8" x14ac:dyDescent="0.3">
      <c r="F79" s="89"/>
      <c r="G79" s="94" t="s">
        <v>282</v>
      </c>
      <c r="H79" s="72"/>
    </row>
    <row r="80" spans="6:8" x14ac:dyDescent="0.3">
      <c r="F80" s="89"/>
      <c r="G80" s="94" t="s">
        <v>248</v>
      </c>
      <c r="H80" s="72"/>
    </row>
  </sheetData>
  <sortState xmlns:xlrd2="http://schemas.microsoft.com/office/spreadsheetml/2017/richdata2" ref="G7:G38">
    <sortCondition ref="G7:G38"/>
  </sortState>
  <mergeCells count="9">
    <mergeCell ref="F69:F80"/>
    <mergeCell ref="H69:H80"/>
    <mergeCell ref="F4:F6"/>
    <mergeCell ref="F7:F38"/>
    <mergeCell ref="H7:H38"/>
    <mergeCell ref="H39:H49"/>
    <mergeCell ref="F39:F49"/>
    <mergeCell ref="H50:H68"/>
    <mergeCell ref="F50:F6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5BC84-A63A-45D0-80BA-E176FC753220}">
  <dimension ref="F3:J34"/>
  <sheetViews>
    <sheetView topLeftCell="A2" workbookViewId="0">
      <selection activeCell="J4" sqref="J4:J14"/>
    </sheetView>
  </sheetViews>
  <sheetFormatPr baseColWidth="10" defaultRowHeight="14.4" x14ac:dyDescent="0.3"/>
  <cols>
    <col min="6" max="6" width="37.6640625" customWidth="1"/>
    <col min="8" max="8" width="36.6640625" customWidth="1"/>
    <col min="10" max="10" width="43.21875" customWidth="1"/>
  </cols>
  <sheetData>
    <row r="3" spans="6:10" x14ac:dyDescent="0.3">
      <c r="F3" s="84" t="s">
        <v>226</v>
      </c>
      <c r="H3" s="84" t="s">
        <v>226</v>
      </c>
      <c r="J3" s="84" t="s">
        <v>226</v>
      </c>
    </row>
    <row r="4" spans="6:10" ht="27.6" x14ac:dyDescent="0.3">
      <c r="F4" s="85" t="s">
        <v>227</v>
      </c>
      <c r="H4" s="85" t="s">
        <v>232</v>
      </c>
      <c r="J4" s="85" t="s">
        <v>232</v>
      </c>
    </row>
    <row r="5" spans="6:10" ht="27.6" x14ac:dyDescent="0.3">
      <c r="F5" s="85" t="s">
        <v>228</v>
      </c>
      <c r="H5" s="85" t="s">
        <v>264</v>
      </c>
      <c r="J5" s="85" t="s">
        <v>278</v>
      </c>
    </row>
    <row r="6" spans="6:10" ht="55.2" x14ac:dyDescent="0.3">
      <c r="F6" s="85" t="s">
        <v>187</v>
      </c>
      <c r="H6" s="85" t="s">
        <v>246</v>
      </c>
      <c r="J6" s="85" t="s">
        <v>279</v>
      </c>
    </row>
    <row r="7" spans="6:10" ht="41.4" x14ac:dyDescent="0.3">
      <c r="F7" s="85" t="s">
        <v>186</v>
      </c>
      <c r="H7" s="85" t="s">
        <v>265</v>
      </c>
      <c r="J7" s="85" t="s">
        <v>246</v>
      </c>
    </row>
    <row r="8" spans="6:10" ht="27.6" x14ac:dyDescent="0.3">
      <c r="F8" s="85" t="s">
        <v>229</v>
      </c>
      <c r="H8" s="85" t="s">
        <v>266</v>
      </c>
      <c r="J8" s="85" t="s">
        <v>280</v>
      </c>
    </row>
    <row r="9" spans="6:10" ht="27.6" x14ac:dyDescent="0.3">
      <c r="F9" s="85" t="s">
        <v>230</v>
      </c>
      <c r="H9" s="85" t="s">
        <v>227</v>
      </c>
      <c r="J9" s="85" t="s">
        <v>239</v>
      </c>
    </row>
    <row r="10" spans="6:10" ht="27.6" x14ac:dyDescent="0.3">
      <c r="F10" s="85" t="s">
        <v>231</v>
      </c>
      <c r="H10" s="85" t="s">
        <v>267</v>
      </c>
      <c r="J10" s="85" t="s">
        <v>281</v>
      </c>
    </row>
    <row r="11" spans="6:10" ht="96.6" x14ac:dyDescent="0.3">
      <c r="F11" s="85" t="s">
        <v>232</v>
      </c>
      <c r="H11" s="85" t="s">
        <v>268</v>
      </c>
      <c r="J11" s="86" t="s">
        <v>265</v>
      </c>
    </row>
    <row r="12" spans="6:10" ht="27.6" x14ac:dyDescent="0.3">
      <c r="F12" s="85" t="s">
        <v>233</v>
      </c>
      <c r="H12" s="85" t="s">
        <v>269</v>
      </c>
      <c r="J12" s="85" t="s">
        <v>264</v>
      </c>
    </row>
    <row r="13" spans="6:10" ht="27.6" x14ac:dyDescent="0.3">
      <c r="F13" s="85" t="s">
        <v>192</v>
      </c>
      <c r="H13" s="85" t="s">
        <v>224</v>
      </c>
      <c r="J13" s="85" t="s">
        <v>282</v>
      </c>
    </row>
    <row r="14" spans="6:10" x14ac:dyDescent="0.3">
      <c r="F14" s="85" t="s">
        <v>234</v>
      </c>
      <c r="H14" s="85" t="s">
        <v>270</v>
      </c>
      <c r="J14" s="85" t="s">
        <v>248</v>
      </c>
    </row>
    <row r="15" spans="6:10" x14ac:dyDescent="0.3">
      <c r="F15" s="85" t="s">
        <v>235</v>
      </c>
      <c r="H15" s="85" t="s">
        <v>271</v>
      </c>
    </row>
    <row r="16" spans="6:10" ht="27.6" x14ac:dyDescent="0.3">
      <c r="F16" s="85" t="s">
        <v>214</v>
      </c>
      <c r="H16" s="85" t="s">
        <v>272</v>
      </c>
    </row>
    <row r="17" spans="6:8" ht="27.6" x14ac:dyDescent="0.3">
      <c r="F17" s="85" t="s">
        <v>236</v>
      </c>
      <c r="H17" s="85" t="s">
        <v>273</v>
      </c>
    </row>
    <row r="18" spans="6:8" x14ac:dyDescent="0.3">
      <c r="F18" s="85" t="s">
        <v>237</v>
      </c>
      <c r="H18" s="86" t="s">
        <v>239</v>
      </c>
    </row>
    <row r="19" spans="6:8" ht="27.6" x14ac:dyDescent="0.3">
      <c r="F19" s="85" t="s">
        <v>238</v>
      </c>
      <c r="H19" s="86" t="s">
        <v>274</v>
      </c>
    </row>
    <row r="20" spans="6:8" x14ac:dyDescent="0.3">
      <c r="F20" s="85" t="s">
        <v>239</v>
      </c>
      <c r="H20" s="86" t="s">
        <v>261</v>
      </c>
    </row>
    <row r="21" spans="6:8" x14ac:dyDescent="0.3">
      <c r="F21" s="85" t="s">
        <v>240</v>
      </c>
      <c r="H21" s="85" t="s">
        <v>275</v>
      </c>
    </row>
    <row r="22" spans="6:8" ht="27.6" x14ac:dyDescent="0.3">
      <c r="F22" s="85" t="s">
        <v>241</v>
      </c>
    </row>
    <row r="23" spans="6:8" x14ac:dyDescent="0.3">
      <c r="F23" s="86" t="s">
        <v>242</v>
      </c>
    </row>
    <row r="24" spans="6:8" x14ac:dyDescent="0.3">
      <c r="F24" s="85" t="s">
        <v>243</v>
      </c>
    </row>
    <row r="25" spans="6:8" x14ac:dyDescent="0.3">
      <c r="F25" s="86" t="s">
        <v>244</v>
      </c>
    </row>
    <row r="26" spans="6:8" x14ac:dyDescent="0.3">
      <c r="F26" s="85" t="s">
        <v>245</v>
      </c>
    </row>
    <row r="27" spans="6:8" x14ac:dyDescent="0.3">
      <c r="F27" s="86" t="s">
        <v>246</v>
      </c>
    </row>
    <row r="28" spans="6:8" x14ac:dyDescent="0.3">
      <c r="F28" s="85" t="s">
        <v>247</v>
      </c>
    </row>
    <row r="29" spans="6:8" x14ac:dyDescent="0.3">
      <c r="F29" s="86" t="s">
        <v>248</v>
      </c>
    </row>
    <row r="30" spans="6:8" x14ac:dyDescent="0.3">
      <c r="F30" s="85" t="s">
        <v>249</v>
      </c>
    </row>
    <row r="31" spans="6:8" x14ac:dyDescent="0.3">
      <c r="F31" s="85" t="s">
        <v>250</v>
      </c>
    </row>
    <row r="32" spans="6:8" x14ac:dyDescent="0.3">
      <c r="F32" s="85" t="s">
        <v>251</v>
      </c>
    </row>
    <row r="33" spans="6:6" x14ac:dyDescent="0.3">
      <c r="F33" s="86" t="s">
        <v>252</v>
      </c>
    </row>
    <row r="34" spans="6:6" x14ac:dyDescent="0.3">
      <c r="F34" s="85" t="s">
        <v>253</v>
      </c>
    </row>
  </sheetData>
  <autoFilter ref="F3:F34" xr:uid="{CBA5BC84-A63A-45D0-80BA-E176FC7532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Establecimiento Madre de Dios</vt:lpstr>
      <vt:lpstr>Hoja1</vt:lpstr>
      <vt:lpstr>PROFESION Y GRADO 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</cp:lastModifiedBy>
  <dcterms:created xsi:type="dcterms:W3CDTF">2023-06-05T17:47:51Z</dcterms:created>
  <dcterms:modified xsi:type="dcterms:W3CDTF">2026-10-20T17:57:43Z</dcterms:modified>
</cp:coreProperties>
</file>